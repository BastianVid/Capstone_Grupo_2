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 Recursos" sheetId="1" r:id="rId4"/>
    <sheet state="visible" name="Presupuesto Detallado" sheetId="2" r:id="rId5"/>
    <sheet state="visible" name="Datos" sheetId="3" r:id="rId6"/>
  </sheets>
  <definedNames/>
  <calcPr/>
  <extLst>
    <ext uri="GoogleSheetsCustomDataVersion2">
      <go:sheetsCustomData xmlns:go="http://customooxmlschemas.google.com/" r:id="rId7" roundtripDataChecksum="e39xbYXWm9coa5O1qbfi6dMNhVcGYckUmPsC1YhZpLg="/>
    </ext>
  </extLst>
</workbook>
</file>

<file path=xl/sharedStrings.xml><?xml version="1.0" encoding="utf-8"?>
<sst xmlns="http://schemas.openxmlformats.org/spreadsheetml/2006/main" count="208" uniqueCount="65">
  <si>
    <t>Presupuesto de Proyecto</t>
  </si>
  <si>
    <t>Cultura X</t>
  </si>
  <si>
    <t>Elaborado por: Cultura X</t>
  </si>
  <si>
    <t>% Reserva de Contingencia</t>
  </si>
  <si>
    <t>Scrum Master: Ricardo Gonzalez</t>
  </si>
  <si>
    <t>Presupuesto</t>
  </si>
  <si>
    <t>Reservas</t>
  </si>
  <si>
    <t>Total</t>
  </si>
  <si>
    <t>Fecha de Inicio: 15/08/2025</t>
  </si>
  <si>
    <t>Categoría</t>
  </si>
  <si>
    <t>Recurso</t>
  </si>
  <si>
    <t>Tipo de Unidades</t>
  </si>
  <si>
    <t>Tasa</t>
  </si>
  <si>
    <t>Costos Directos</t>
  </si>
  <si>
    <t>Labor (Personal)</t>
  </si>
  <si>
    <t>Ricardo Gonzalez</t>
  </si>
  <si>
    <t>Bastian Vidal</t>
  </si>
  <si>
    <t>Rodrigo Gonzalez</t>
  </si>
  <si>
    <t>Licencias</t>
  </si>
  <si>
    <t>Microsoft 365</t>
  </si>
  <si>
    <t>Trello</t>
  </si>
  <si>
    <t>Firebase</t>
  </si>
  <si>
    <t>Dominio</t>
  </si>
  <si>
    <t>Hosting</t>
  </si>
  <si>
    <t>Código</t>
  </si>
  <si>
    <t>Tarea / Actividad</t>
  </si>
  <si>
    <t>Elemento</t>
  </si>
  <si>
    <t>Tipo de Recurso</t>
  </si>
  <si>
    <t>Unidades</t>
  </si>
  <si>
    <t>Desarrollo</t>
  </si>
  <si>
    <t>1.1</t>
  </si>
  <si>
    <t>Épica 1: Autenticación y gestión de usuarios</t>
  </si>
  <si>
    <t>1.2</t>
  </si>
  <si>
    <t>Épica 2: Contenido cultural y vistas por categoría</t>
  </si>
  <si>
    <t>1.3</t>
  </si>
  <si>
    <t>Épica 3: Sistema de reseñas y calificaciones</t>
  </si>
  <si>
    <t>1.4</t>
  </si>
  <si>
    <t>Épica 4: Perfil de usuario</t>
  </si>
  <si>
    <t>1.5</t>
  </si>
  <si>
    <t>Épica 5: Optimización y mantenimiento</t>
  </si>
  <si>
    <t>1.6</t>
  </si>
  <si>
    <t>Épica 6: Publicidad y monetización</t>
  </si>
  <si>
    <t>1.7</t>
  </si>
  <si>
    <t>Épica 7: Descubrimiento y exploración</t>
  </si>
  <si>
    <t>Épica 8: Componentes compartidos y utilidades</t>
  </si>
  <si>
    <t>Épica 9: Ruteo y navegación SPA</t>
  </si>
  <si>
    <t>Épica 10: Footer y soporte al creador</t>
  </si>
  <si>
    <t>Épica 11: Creación de vista y población de base de datos</t>
  </si>
  <si>
    <t>Épica 12: Modificación de tablas</t>
  </si>
  <si>
    <t>1.13</t>
  </si>
  <si>
    <t>Épica 13: Optimización del rendimiento y consumo</t>
  </si>
  <si>
    <t>Documentación</t>
  </si>
  <si>
    <t>Acta de Constitución del Proyecto</t>
  </si>
  <si>
    <t>2.2</t>
  </si>
  <si>
    <t>2.3</t>
  </si>
  <si>
    <t>Matriz de Responsabilidad RACI</t>
  </si>
  <si>
    <t>2.4</t>
  </si>
  <si>
    <t>Gestión de Calidad</t>
  </si>
  <si>
    <t>2.5</t>
  </si>
  <si>
    <t>Control de Costos</t>
  </si>
  <si>
    <t>2.6</t>
  </si>
  <si>
    <t>Lecciones Aprendidas</t>
  </si>
  <si>
    <t>[Nombre de la Compañía / Logo]</t>
  </si>
  <si>
    <t>Horas / Jornadas</t>
  </si>
  <si>
    <t>Cantidad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</si>
</sst>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 * #,##0_ ;_ * \-#,##0_ ;_ * &quot;-&quot;??_ ;_ @_ "/>
    <numFmt numFmtId="165" formatCode="[$$]#,##0"/>
    <numFmt numFmtId="166" formatCode="_ * #,##0.00_ ;_ * \-#,##0.00_ ;_ * &quot;-&quot;??_ ;_ @_ "/>
    <numFmt numFmtId="167" formatCode="d.m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1"/>
      <name val="Calibri"/>
    </font>
    <font>
      <b/>
      <sz val="11.0"/>
      <color theme="1"/>
      <name val="Calibri"/>
    </font>
    <font>
      <b/>
      <sz val="14.0"/>
      <color rgb="FF1F497D"/>
      <name val="Calibri"/>
    </font>
    <font>
      <sz val="10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1" fillId="2" fontId="4" numFmtId="0" xfId="0" applyBorder="1" applyFont="1"/>
    <xf borderId="1" fillId="2" fontId="1" numFmtId="9" xfId="0" applyBorder="1" applyFont="1" applyNumberFormat="1"/>
    <xf borderId="1" fillId="2" fontId="5" numFmtId="0" xfId="0" applyBorder="1" applyFont="1"/>
    <xf borderId="1" fillId="2" fontId="6" numFmtId="0" xfId="0" applyBorder="1" applyFont="1"/>
    <xf borderId="1" fillId="2" fontId="7" numFmtId="0" xfId="0" applyAlignment="1" applyBorder="1" applyFont="1">
      <alignment horizontal="center"/>
    </xf>
    <xf borderId="1" fillId="2" fontId="7" numFmtId="0" xfId="0" applyBorder="1" applyFont="1"/>
    <xf borderId="1" fillId="3" fontId="6" numFmtId="164" xfId="0" applyBorder="1" applyFill="1" applyFont="1" applyNumberFormat="1"/>
    <xf borderId="1" fillId="3" fontId="3" numFmtId="0" xfId="0" applyAlignment="1" applyBorder="1" applyFont="1">
      <alignment horizontal="left" vertical="top"/>
    </xf>
    <xf borderId="1" fillId="3" fontId="3" numFmtId="165" xfId="0" applyAlignment="1" applyBorder="1" applyFont="1" applyNumberFormat="1">
      <alignment horizontal="right" vertical="top"/>
    </xf>
    <xf borderId="1" fillId="2" fontId="1" numFmtId="0" xfId="0" applyAlignment="1" applyBorder="1" applyFont="1">
      <alignment horizontal="left" vertical="top"/>
    </xf>
    <xf borderId="1" fillId="2" fontId="1" numFmtId="165" xfId="0" applyAlignment="1" applyBorder="1" applyFont="1" applyNumberFormat="1">
      <alignment horizontal="right" vertical="top"/>
    </xf>
    <xf borderId="1" fillId="2" fontId="1" numFmtId="166" xfId="0" applyAlignment="1" applyBorder="1" applyFont="1" applyNumberFormat="1">
      <alignment horizontal="right" vertical="top"/>
    </xf>
    <xf borderId="1" fillId="2" fontId="7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left" vertical="top"/>
    </xf>
    <xf borderId="1" fillId="3" fontId="1" numFmtId="0" xfId="0" applyAlignment="1" applyBorder="1" applyFont="1">
      <alignment horizontal="right" vertical="top"/>
    </xf>
    <xf borderId="1" fillId="3" fontId="1" numFmtId="165" xfId="0" applyAlignment="1" applyBorder="1" applyFont="1" applyNumberFormat="1">
      <alignment horizontal="left" vertical="top"/>
    </xf>
    <xf borderId="1" fillId="4" fontId="1" numFmtId="167" xfId="0" applyAlignment="1" applyBorder="1" applyFill="1" applyFont="1" applyNumberFormat="1">
      <alignment horizontal="left" vertical="top"/>
    </xf>
    <xf borderId="1" fillId="4" fontId="1" numFmtId="0" xfId="0" applyAlignment="1" applyBorder="1" applyFont="1">
      <alignment horizontal="left" vertical="top"/>
    </xf>
    <xf borderId="1" fillId="4" fontId="1" numFmtId="0" xfId="0" applyAlignment="1" applyBorder="1" applyFont="1">
      <alignment horizontal="right" vertical="top"/>
    </xf>
    <xf borderId="1" fillId="4" fontId="1" numFmtId="165" xfId="0" applyAlignment="1" applyBorder="1" applyFont="1" applyNumberFormat="1">
      <alignment horizontal="left" vertical="top"/>
    </xf>
    <xf borderId="1" fillId="2" fontId="1" numFmtId="166" xfId="0" applyAlignment="1" applyBorder="1" applyFont="1" applyNumberFormat="1">
      <alignment horizontal="left" vertical="top"/>
    </xf>
    <xf borderId="1" fillId="2" fontId="1" numFmtId="0" xfId="0" applyAlignment="1" applyBorder="1" applyFont="1">
      <alignment horizontal="center" vertical="top"/>
    </xf>
    <xf borderId="1" fillId="2" fontId="1" numFmtId="165" xfId="0" applyAlignment="1" applyBorder="1" applyFont="1" applyNumberFormat="1">
      <alignment horizontal="left" vertical="top"/>
    </xf>
    <xf borderId="1" fillId="4" fontId="1" numFmtId="49" xfId="0" applyAlignment="1" applyBorder="1" applyFont="1" applyNumberFormat="1">
      <alignment horizontal="left" vertical="top"/>
    </xf>
    <xf borderId="1" fillId="4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11.14"/>
    <col customWidth="1" min="3" max="3" width="26.29"/>
    <col customWidth="1" min="4" max="4" width="8.0"/>
    <col customWidth="1" min="5" max="5" width="19.0"/>
    <col customWidth="1" min="6" max="6" width="9.0"/>
    <col customWidth="1" min="7" max="7" width="21.29"/>
    <col customWidth="1" min="8" max="26" width="11.43"/>
  </cols>
  <sheetData>
    <row r="1" ht="30.75" customHeight="1">
      <c r="A1" s="1"/>
      <c r="B1" s="2" t="s">
        <v>0</v>
      </c>
      <c r="C1" s="1"/>
      <c r="D1" s="1"/>
      <c r="E1" s="1"/>
      <c r="F1" s="3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4" t="s">
        <v>2</v>
      </c>
      <c r="C2" s="1"/>
      <c r="D2" s="1"/>
      <c r="E2" s="1" t="s">
        <v>3</v>
      </c>
      <c r="F2" s="1"/>
      <c r="G2" s="5">
        <v>0.3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6" t="s">
        <v>4</v>
      </c>
      <c r="C3" s="1"/>
      <c r="D3" s="7"/>
      <c r="E3" s="8" t="s">
        <v>5</v>
      </c>
      <c r="F3" s="8" t="s">
        <v>6</v>
      </c>
      <c r="G3" s="8" t="s">
        <v>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6" t="s">
        <v>8</v>
      </c>
      <c r="C4" s="1"/>
      <c r="D4" s="9" t="s">
        <v>7</v>
      </c>
      <c r="E4" s="10">
        <f>G7</f>
        <v>3095694</v>
      </c>
      <c r="F4" s="10">
        <f>E4*G2</f>
        <v>928708.2</v>
      </c>
      <c r="G4" s="10">
        <f>E4+F4</f>
        <v>4024402.2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8" t="s">
        <v>9</v>
      </c>
      <c r="C6" s="8" t="s">
        <v>10</v>
      </c>
      <c r="D6" s="8"/>
      <c r="E6" s="8" t="s">
        <v>11</v>
      </c>
      <c r="F6" s="8" t="s">
        <v>12</v>
      </c>
      <c r="G6" s="8" t="s">
        <v>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1" t="s">
        <v>13</v>
      </c>
      <c r="C7" s="11"/>
      <c r="D7" s="11"/>
      <c r="E7" s="11"/>
      <c r="F7" s="11"/>
      <c r="G7" s="12">
        <f>G8+G12</f>
        <v>3095694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3" t="s">
        <v>14</v>
      </c>
      <c r="C8" s="13"/>
      <c r="D8" s="13"/>
      <c r="E8" s="13"/>
      <c r="F8" s="13"/>
      <c r="G8" s="14">
        <f>SUM(G9:G11)</f>
        <v>2714754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3"/>
      <c r="C9" s="13" t="s">
        <v>15</v>
      </c>
      <c r="D9" s="13"/>
      <c r="E9" s="13" t="str">
        <f>VLOOKUP(C9,Datos!$B$8:$E$15,3,)</f>
        <v>Horas / Jornadas</v>
      </c>
      <c r="F9" s="14">
        <f>VLOOKUP(C9,Datos!$B$8:$E$13,4,)</f>
        <v>7630</v>
      </c>
      <c r="G9" s="14">
        <f>SUMIF('Presupuesto Detallado'!D:D, "Ricardo Gonzalez", 'Presupuesto Detallado'!I:I)</f>
        <v>904918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3"/>
      <c r="C10" s="13" t="s">
        <v>16</v>
      </c>
      <c r="D10" s="13"/>
      <c r="E10" s="13" t="str">
        <f>VLOOKUP(C10,Datos!$B$8:$E$15,3,)</f>
        <v>Horas / Jornadas</v>
      </c>
      <c r="F10" s="14">
        <f>VLOOKUP(C10,Datos!$B$8:$E$13,4,)</f>
        <v>7630</v>
      </c>
      <c r="G10" s="14">
        <f>SUMIF('Presupuesto Detallado'!D:D, "Bastian Vidal", 'Presupuesto Detallado'!I:I)</f>
        <v>904918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3"/>
      <c r="C11" s="13" t="s">
        <v>17</v>
      </c>
      <c r="D11" s="13"/>
      <c r="E11" s="13" t="str">
        <f>VLOOKUP(C11,Datos!$B$8:$E$15,3,)</f>
        <v>Horas / Jornadas</v>
      </c>
      <c r="F11" s="14">
        <f>VLOOKUP(C11,Datos!$B$8:$E$13,4,)</f>
        <v>7630</v>
      </c>
      <c r="G11" s="14">
        <f>SUMIF('Presupuesto Detallado'!D:D, "Rodrigo Gonzalez", 'Presupuesto Detallado'!I:I)</f>
        <v>904918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3" t="s">
        <v>18</v>
      </c>
      <c r="C12" s="13"/>
      <c r="D12" s="13"/>
      <c r="E12" s="13"/>
      <c r="F12" s="15"/>
      <c r="G12" s="14">
        <f>SUM(G13:G17)</f>
        <v>380940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3"/>
      <c r="C13" s="13" t="s">
        <v>19</v>
      </c>
      <c r="D13" s="13"/>
      <c r="E13" s="13" t="str">
        <f>VLOOKUP(C13,Datos!$B$8:$E$15,3,)</f>
        <v>Cantidad</v>
      </c>
      <c r="F13" s="14">
        <f>VLOOKUP(C13,Datos!$B$8:$E$15,4,)</f>
        <v>8490</v>
      </c>
      <c r="G13" s="14">
        <f>SUMIF('Presupuesto Detallado'!D:D, "Microsoft 365", 'Presupuesto Detallado'!I:I)</f>
        <v>50940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3"/>
      <c r="C14" s="13" t="s">
        <v>20</v>
      </c>
      <c r="D14" s="13"/>
      <c r="E14" s="13" t="str">
        <f>VLOOKUP(C14,Datos!$B$8:$E$15,3,)</f>
        <v>Cantidad</v>
      </c>
      <c r="F14" s="14">
        <f>VLOOKUP(C14,Datos!$B$8:$E$15,4,)</f>
        <v>5000</v>
      </c>
      <c r="G14" s="14">
        <f>SUMIF('Presupuesto Detallado'!D:D, "Trello", 'Presupuesto Detallado'!I:I)</f>
        <v>95000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3"/>
      <c r="C15" s="13" t="s">
        <v>21</v>
      </c>
      <c r="D15" s="13"/>
      <c r="E15" s="13" t="str">
        <f>VLOOKUP(C15,Datos!$B$8:$E$15,3,)</f>
        <v>Cantidad</v>
      </c>
      <c r="F15" s="14">
        <f>VLOOKUP(C15,Datos!$B$8:$E$13,4,)</f>
        <v>15000</v>
      </c>
      <c r="G15" s="14">
        <f>SUMIF('Presupuesto Detallado'!D:D, "Firebase", 'Presupuesto Detallado'!I:I)</f>
        <v>195000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3"/>
      <c r="C16" s="13" t="s">
        <v>22</v>
      </c>
      <c r="D16" s="13"/>
      <c r="E16" s="13" t="str">
        <f>VLOOKUP(C16,Datos!$B$8:$E$15,3,)</f>
        <v>Cantidad</v>
      </c>
      <c r="F16" s="14">
        <f>VLOOKUP(C16,Datos!$B$8:$E$13,4,)</f>
        <v>10000</v>
      </c>
      <c r="G16" s="14">
        <f>SUMIF('Presupuesto Detallado'!D:D, "Dominio", 'Presupuesto Detallado'!I:I)</f>
        <v>10000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 t="s">
        <v>23</v>
      </c>
      <c r="D17" s="1"/>
      <c r="E17" s="13" t="str">
        <f>VLOOKUP(C17,Datos!$B$8:$E$15,3,)</f>
        <v>Cantidad</v>
      </c>
      <c r="F17" s="14">
        <f>VLOOKUP(C17,Datos!$B$8:$E$13,4,)</f>
        <v>30000</v>
      </c>
      <c r="G17" s="14">
        <f>SUMIF('Presupuesto Detallado'!D:D, "Hosting", 'Presupuesto Detallado'!I:I)</f>
        <v>30000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printOptions/>
  <pageMargins bottom="0.7480314960629921" footer="0.0" header="0.0" left="0.7086614173228347" right="0.7086614173228347" top="0.7480314960629921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7.86"/>
    <col customWidth="1" min="3" max="3" width="42.29"/>
    <col customWidth="1" min="4" max="4" width="27.0"/>
    <col customWidth="1" min="5" max="5" width="16.29"/>
    <col customWidth="1" min="6" max="6" width="18.0"/>
    <col customWidth="1" min="7" max="7" width="29.43"/>
    <col customWidth="1" min="8" max="8" width="10.43"/>
    <col customWidth="1" min="9" max="9" width="12.86"/>
    <col customWidth="1" min="10" max="26" width="11.43"/>
  </cols>
  <sheetData>
    <row r="1" ht="30.75" customHeight="1">
      <c r="A1" s="1"/>
      <c r="B1" s="2" t="s">
        <v>0</v>
      </c>
      <c r="C1" s="1"/>
      <c r="D1" s="1"/>
      <c r="E1" s="1"/>
      <c r="F1" s="1"/>
      <c r="G1" s="3" t="s">
        <v>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4" t="s">
        <v>2</v>
      </c>
      <c r="C2" s="1"/>
      <c r="D2" s="1"/>
      <c r="E2" s="1"/>
      <c r="F2" s="1"/>
      <c r="G2" s="1" t="s">
        <v>3</v>
      </c>
      <c r="H2" s="1"/>
      <c r="I2" s="5">
        <v>0.3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6" t="s">
        <v>4</v>
      </c>
      <c r="C3" s="1"/>
      <c r="D3" s="1"/>
      <c r="E3" s="7"/>
      <c r="F3" s="7"/>
      <c r="G3" s="8" t="s">
        <v>5</v>
      </c>
      <c r="H3" s="8" t="s">
        <v>6</v>
      </c>
      <c r="I3" s="8" t="s">
        <v>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6" t="s">
        <v>8</v>
      </c>
      <c r="C4" s="1"/>
      <c r="D4" s="1"/>
      <c r="E4" s="9" t="s">
        <v>7</v>
      </c>
      <c r="F4" s="9"/>
      <c r="G4" s="10">
        <f>I7+I88</f>
        <v>3095694</v>
      </c>
      <c r="H4" s="10">
        <f>G4*I2</f>
        <v>928708.2</v>
      </c>
      <c r="I4" s="10">
        <f>G4+H4</f>
        <v>4024402.2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6" t="s">
        <v>24</v>
      </c>
      <c r="C6" s="8" t="s">
        <v>25</v>
      </c>
      <c r="D6" s="8" t="s">
        <v>26</v>
      </c>
      <c r="E6" s="8" t="s">
        <v>27</v>
      </c>
      <c r="F6" s="8" t="s">
        <v>11</v>
      </c>
      <c r="G6" s="8" t="s">
        <v>28</v>
      </c>
      <c r="H6" s="8" t="s">
        <v>12</v>
      </c>
      <c r="I6" s="8" t="s">
        <v>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1">
        <v>1.0</v>
      </c>
      <c r="C7" s="11" t="s">
        <v>29</v>
      </c>
      <c r="D7" s="17"/>
      <c r="E7" s="17"/>
      <c r="F7" s="17"/>
      <c r="G7" s="18"/>
      <c r="H7" s="19"/>
      <c r="I7" s="19">
        <f>I8+I16+I22+I28+I34+I40+I46+I52+I58+I64+I70+I76+I82</f>
        <v>2694294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0" t="s">
        <v>30</v>
      </c>
      <c r="C8" s="21" t="s">
        <v>31</v>
      </c>
      <c r="D8" s="21"/>
      <c r="E8" s="21"/>
      <c r="F8" s="21"/>
      <c r="G8" s="22"/>
      <c r="H8" s="23"/>
      <c r="I8" s="23">
        <f>SUM(I9:I15)</f>
        <v>364437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3"/>
      <c r="C9" s="13"/>
      <c r="D9" s="13" t="s">
        <v>15</v>
      </c>
      <c r="E9" s="24" t="str">
        <f>IFERROR(VLOOKUP(D9,Datos!$B$8:$E$15,2,),"")</f>
        <v>Labor (Personal)</v>
      </c>
      <c r="F9" s="24" t="str">
        <f>IFERROR(VLOOKUP(D9,Datos!$B$8:$E$15,3,),"")</f>
        <v>Horas / Jornadas</v>
      </c>
      <c r="G9" s="25">
        <v>13.3</v>
      </c>
      <c r="H9" s="26">
        <f t="array" ref="H9">XLOOKUP(D9,Datos!B:B,Datos!E:E,"Error",0)</f>
        <v>7630</v>
      </c>
      <c r="I9" s="26">
        <f t="shared" ref="I9:I15" si="1">G9*H9</f>
        <v>101479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3"/>
      <c r="C10" s="13"/>
      <c r="D10" s="13" t="s">
        <v>16</v>
      </c>
      <c r="E10" s="24" t="str">
        <f>IFERROR(VLOOKUP(D10,Datos!$B$8:$E$15,2,),"")</f>
        <v>Labor (Personal)</v>
      </c>
      <c r="F10" s="24" t="str">
        <f>IFERROR(VLOOKUP(D10,Datos!$B$8:$E$15,3,),"")</f>
        <v>Horas / Jornadas</v>
      </c>
      <c r="G10" s="25">
        <v>13.3</v>
      </c>
      <c r="H10" s="26">
        <f t="array" ref="H10">XLOOKUP(D10,Datos!B:B,Datos!E:E,"Error",0)</f>
        <v>7630</v>
      </c>
      <c r="I10" s="26">
        <f t="shared" si="1"/>
        <v>101479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3"/>
      <c r="C11" s="13"/>
      <c r="D11" s="13" t="s">
        <v>17</v>
      </c>
      <c r="E11" s="24" t="str">
        <f>IFERROR(VLOOKUP(D11,Datos!$B$8:$E$15,2,),"")</f>
        <v>Labor (Personal)</v>
      </c>
      <c r="F11" s="24" t="str">
        <f>IFERROR(VLOOKUP(D11,Datos!$B$8:$E$15,3,),"")</f>
        <v>Horas / Jornadas</v>
      </c>
      <c r="G11" s="25">
        <v>13.3</v>
      </c>
      <c r="H11" s="26">
        <f t="array" ref="H11">XLOOKUP(D11,Datos!B:B,Datos!E:E,"Error",0)</f>
        <v>7630</v>
      </c>
      <c r="I11" s="26">
        <f t="shared" si="1"/>
        <v>101479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3"/>
      <c r="C12" s="13"/>
      <c r="D12" s="13" t="s">
        <v>21</v>
      </c>
      <c r="E12" s="24" t="str">
        <f>IFERROR(VLOOKUP(D12,Datos!$B$8:$E$15,2,),"")</f>
        <v>Licencias</v>
      </c>
      <c r="F12" s="24" t="str">
        <f>IFERROR(VLOOKUP(D12,Datos!$B$8:$E$15,3,),"")</f>
        <v>Cantidad</v>
      </c>
      <c r="G12" s="25">
        <v>1.0</v>
      </c>
      <c r="H12" s="26">
        <f t="array" ref="H12">XLOOKUP(D12,Datos!B:B,Datos!E:E,"Error",0)</f>
        <v>15000</v>
      </c>
      <c r="I12" s="26">
        <f t="shared" si="1"/>
        <v>15000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3"/>
      <c r="C13" s="13"/>
      <c r="D13" s="13" t="s">
        <v>20</v>
      </c>
      <c r="E13" s="24" t="str">
        <f>IFERROR(VLOOKUP(D13,Datos!$B$8:$E$15,2,),"")</f>
        <v>Licencias</v>
      </c>
      <c r="F13" s="24" t="str">
        <f>IFERROR(VLOOKUP(D13,Datos!$B$8:$E$15,3,),"")</f>
        <v>Cantidad</v>
      </c>
      <c r="G13" s="25">
        <v>1.0</v>
      </c>
      <c r="H13" s="26">
        <f t="array" ref="H13">XLOOKUP(D13,Datos!B:B,Datos!E:E,"Error",0)</f>
        <v>5000</v>
      </c>
      <c r="I13" s="26">
        <f t="shared" si="1"/>
        <v>5000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3"/>
      <c r="C14" s="13"/>
      <c r="D14" s="13" t="s">
        <v>23</v>
      </c>
      <c r="E14" s="24" t="str">
        <f>IFERROR(VLOOKUP(D14,Datos!$B$8:$E$15,2,),"")</f>
        <v>Licencias</v>
      </c>
      <c r="F14" s="24" t="str">
        <f>IFERROR(VLOOKUP(D14,Datos!$B$8:$E$15,3,),"")</f>
        <v>Cantidad</v>
      </c>
      <c r="G14" s="25">
        <v>1.0</v>
      </c>
      <c r="H14" s="26">
        <f t="array" ref="H14">XLOOKUP(D14,Datos!B:B,Datos!E:E,"Error",0)</f>
        <v>30000</v>
      </c>
      <c r="I14" s="26">
        <f t="shared" si="1"/>
        <v>30000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3"/>
      <c r="C15" s="13"/>
      <c r="D15" s="13" t="s">
        <v>22</v>
      </c>
      <c r="E15" s="24" t="str">
        <f>IFERROR(VLOOKUP(D15,Datos!$B$8:$E$15,2,),"")</f>
        <v>Licencias</v>
      </c>
      <c r="F15" s="24" t="str">
        <f>IFERROR(VLOOKUP(D15,Datos!$B$8:$E$15,3,),"")</f>
        <v>Cantidad</v>
      </c>
      <c r="G15" s="25">
        <v>1.0</v>
      </c>
      <c r="H15" s="26">
        <f t="array" ref="H15">XLOOKUP(D15,Datos!B:B,Datos!E:E,"Error",0)</f>
        <v>10000</v>
      </c>
      <c r="I15" s="26">
        <f t="shared" si="1"/>
        <v>10000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0" t="s">
        <v>32</v>
      </c>
      <c r="C16" s="21" t="s">
        <v>33</v>
      </c>
      <c r="D16" s="21"/>
      <c r="E16" s="21" t="str">
        <f>IFERROR(VLOOKUP(D16,Datos!$B$8:$E$15,2,),"")</f>
        <v/>
      </c>
      <c r="F16" s="21" t="str">
        <f>IFERROR(VLOOKUP(D16,Datos!$B$8:$E$15,3,),"")</f>
        <v/>
      </c>
      <c r="G16" s="22"/>
      <c r="H16" s="23"/>
      <c r="I16" s="23">
        <f>SUM(I17:I21)</f>
        <v>324437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3"/>
      <c r="C17" s="13"/>
      <c r="D17" s="13" t="s">
        <v>15</v>
      </c>
      <c r="E17" s="24" t="str">
        <f>IFERROR(VLOOKUP(D17,Datos!$B$8:$E$15,2,),"")</f>
        <v>Labor (Personal)</v>
      </c>
      <c r="F17" s="24" t="str">
        <f>IFERROR(VLOOKUP(D17,Datos!$B$8:$E$15,3,),"")</f>
        <v>Horas / Jornadas</v>
      </c>
      <c r="G17" s="25">
        <v>13.3</v>
      </c>
      <c r="H17" s="26">
        <f t="array" ref="H17">XLOOKUP(D17,Datos!B:B,Datos!E:E,"Error",0)</f>
        <v>7630</v>
      </c>
      <c r="I17" s="26">
        <f t="shared" ref="I17:I21" si="2">G17*H17</f>
        <v>101479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3"/>
      <c r="C18" s="13"/>
      <c r="D18" s="13" t="s">
        <v>16</v>
      </c>
      <c r="E18" s="24" t="str">
        <f>IFERROR(VLOOKUP(D18,Datos!$B$8:$E$15,2,),"")</f>
        <v>Labor (Personal)</v>
      </c>
      <c r="F18" s="24" t="str">
        <f>IFERROR(VLOOKUP(D18,Datos!$B$8:$E$15,3,),"")</f>
        <v>Horas / Jornadas</v>
      </c>
      <c r="G18" s="25">
        <v>13.3</v>
      </c>
      <c r="H18" s="26">
        <f t="array" ref="H18">XLOOKUP(D18,Datos!B:B,Datos!E:E,"Error",0)</f>
        <v>7630</v>
      </c>
      <c r="I18" s="26">
        <f t="shared" si="2"/>
        <v>101479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3"/>
      <c r="C19" s="13"/>
      <c r="D19" s="13" t="s">
        <v>17</v>
      </c>
      <c r="E19" s="24" t="str">
        <f>IFERROR(VLOOKUP(D19,Datos!$B$8:$E$15,2,),"")</f>
        <v>Labor (Personal)</v>
      </c>
      <c r="F19" s="24" t="str">
        <f>IFERROR(VLOOKUP(D19,Datos!$B$8:$E$15,3,),"")</f>
        <v>Horas / Jornadas</v>
      </c>
      <c r="G19" s="25">
        <v>13.3</v>
      </c>
      <c r="H19" s="26">
        <f t="array" ref="H19">XLOOKUP(D19,Datos!B:B,Datos!E:E,"Error",0)</f>
        <v>7630</v>
      </c>
      <c r="I19" s="26">
        <f t="shared" si="2"/>
        <v>101479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3"/>
      <c r="C20" s="13"/>
      <c r="D20" s="13" t="s">
        <v>20</v>
      </c>
      <c r="E20" s="24" t="str">
        <f>IFERROR(VLOOKUP(D20,Datos!$B$8:$E$15,2,),"")</f>
        <v>Licencias</v>
      </c>
      <c r="F20" s="24" t="str">
        <f>IFERROR(VLOOKUP(D20,Datos!$B$8:$E$15,3,),"")</f>
        <v>Cantidad</v>
      </c>
      <c r="G20" s="25">
        <v>1.0</v>
      </c>
      <c r="H20" s="26">
        <f t="array" ref="H20">XLOOKUP(D20,Datos!B:B,Datos!E:E,"Error",0)</f>
        <v>5000</v>
      </c>
      <c r="I20" s="26">
        <f t="shared" si="2"/>
        <v>5000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3"/>
      <c r="C21" s="13"/>
      <c r="D21" s="13" t="s">
        <v>21</v>
      </c>
      <c r="E21" s="24" t="str">
        <f>IFERROR(VLOOKUP(D21,Datos!$B$8:$E$15,2,),"")</f>
        <v>Licencias</v>
      </c>
      <c r="F21" s="24" t="str">
        <f>IFERROR(VLOOKUP(D21,Datos!$B$8:$E$15,3,),"")</f>
        <v>Cantidad</v>
      </c>
      <c r="G21" s="25">
        <v>1.0</v>
      </c>
      <c r="H21" s="26">
        <f t="array" ref="H21">XLOOKUP(D21,Datos!B:B,Datos!E:E,"Error",0)</f>
        <v>15000</v>
      </c>
      <c r="I21" s="26">
        <f t="shared" si="2"/>
        <v>15000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0" t="s">
        <v>34</v>
      </c>
      <c r="C22" s="21" t="s">
        <v>35</v>
      </c>
      <c r="D22" s="21"/>
      <c r="E22" s="21" t="str">
        <f>IFERROR(VLOOKUP(D22,Datos!$B$8:$E$15,2,),"")</f>
        <v/>
      </c>
      <c r="F22" s="21" t="str">
        <f>IFERROR(VLOOKUP(D22,Datos!$B$8:$E$15,3,),"")</f>
        <v/>
      </c>
      <c r="G22" s="22"/>
      <c r="H22" s="23"/>
      <c r="I22" s="23">
        <f>SUM(I23:I27)</f>
        <v>324437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3"/>
      <c r="C23" s="13"/>
      <c r="D23" s="13" t="s">
        <v>15</v>
      </c>
      <c r="E23" s="24" t="str">
        <f>IFERROR(VLOOKUP(D23,Datos!$B$8:$E$15,2,),"")</f>
        <v>Labor (Personal)</v>
      </c>
      <c r="F23" s="24" t="str">
        <f>IFERROR(VLOOKUP(D23,Datos!$B$8:$E$15,3,),"")</f>
        <v>Horas / Jornadas</v>
      </c>
      <c r="G23" s="25">
        <v>13.3</v>
      </c>
      <c r="H23" s="26">
        <f t="array" ref="H23">XLOOKUP(D23,Datos!B:B,Datos!E:E,"Error",0)</f>
        <v>7630</v>
      </c>
      <c r="I23" s="26">
        <f t="shared" ref="I23:I27" si="3">G23*H23</f>
        <v>101479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3"/>
      <c r="C24" s="13"/>
      <c r="D24" s="13" t="s">
        <v>16</v>
      </c>
      <c r="E24" s="24" t="str">
        <f>IFERROR(VLOOKUP(D24,Datos!$B$8:$E$15,2,),"")</f>
        <v>Labor (Personal)</v>
      </c>
      <c r="F24" s="24" t="str">
        <f>IFERROR(VLOOKUP(D24,Datos!$B$8:$E$15,3,),"")</f>
        <v>Horas / Jornadas</v>
      </c>
      <c r="G24" s="25">
        <v>13.3</v>
      </c>
      <c r="H24" s="26">
        <f t="array" ref="H24">XLOOKUP(D24,Datos!B:B,Datos!E:E,"Error",0)</f>
        <v>7630</v>
      </c>
      <c r="I24" s="26">
        <f t="shared" si="3"/>
        <v>101479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3"/>
      <c r="C25" s="13"/>
      <c r="D25" s="13" t="s">
        <v>17</v>
      </c>
      <c r="E25" s="24" t="str">
        <f>IFERROR(VLOOKUP(D25,Datos!$B$8:$E$15,2,),"")</f>
        <v>Labor (Personal)</v>
      </c>
      <c r="F25" s="24" t="str">
        <f>IFERROR(VLOOKUP(D25,Datos!$B$8:$E$15,3,),"")</f>
        <v>Horas / Jornadas</v>
      </c>
      <c r="G25" s="25">
        <v>13.3</v>
      </c>
      <c r="H25" s="26">
        <f t="array" ref="H25">XLOOKUP(D25,Datos!B:B,Datos!E:E,"Error",0)</f>
        <v>7630</v>
      </c>
      <c r="I25" s="26">
        <f t="shared" si="3"/>
        <v>101479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3"/>
      <c r="C26" s="13"/>
      <c r="D26" s="13" t="s">
        <v>20</v>
      </c>
      <c r="E26" s="24" t="str">
        <f>IFERROR(VLOOKUP(D26,Datos!$B$8:$E$15,2,),"")</f>
        <v>Licencias</v>
      </c>
      <c r="F26" s="24" t="str">
        <f>IFERROR(VLOOKUP(D26,Datos!$B$8:$E$15,3,),"")</f>
        <v>Cantidad</v>
      </c>
      <c r="G26" s="25">
        <v>1.0</v>
      </c>
      <c r="H26" s="26">
        <f t="array" ref="H26">XLOOKUP(D26,Datos!B:B,Datos!E:E,"Error",0)</f>
        <v>5000</v>
      </c>
      <c r="I26" s="26">
        <f t="shared" si="3"/>
        <v>5000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3"/>
      <c r="C27" s="13"/>
      <c r="D27" s="13" t="s">
        <v>21</v>
      </c>
      <c r="E27" s="24" t="str">
        <f>IFERROR(VLOOKUP(D27,Datos!$B$8:$E$15,2,),"")</f>
        <v>Licencias</v>
      </c>
      <c r="F27" s="24" t="str">
        <f>IFERROR(VLOOKUP(D27,Datos!$B$8:$E$15,3,),"")</f>
        <v>Cantidad</v>
      </c>
      <c r="G27" s="25">
        <v>1.0</v>
      </c>
      <c r="H27" s="26">
        <f t="array" ref="H27">XLOOKUP(D27,Datos!B:B,Datos!E:E,"Error",0)</f>
        <v>15000</v>
      </c>
      <c r="I27" s="26">
        <f t="shared" si="3"/>
        <v>15000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20" t="s">
        <v>36</v>
      </c>
      <c r="C28" s="21" t="s">
        <v>37</v>
      </c>
      <c r="D28" s="21"/>
      <c r="E28" s="21" t="str">
        <f>IFERROR(VLOOKUP(D28,Datos!$B$8:$E$15,2,),"")</f>
        <v/>
      </c>
      <c r="F28" s="21" t="str">
        <f>IFERROR(VLOOKUP(D28,Datos!$B$8:$E$15,3,),"")</f>
        <v/>
      </c>
      <c r="G28" s="22"/>
      <c r="H28" s="23"/>
      <c r="I28" s="23">
        <f>SUM(I29:I33)</f>
        <v>171074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3"/>
      <c r="C29" s="13"/>
      <c r="D29" s="13" t="s">
        <v>15</v>
      </c>
      <c r="E29" s="24" t="str">
        <f>IFERROR(VLOOKUP(D29,Datos!$B$8:$E$15,2,),"")</f>
        <v>Labor (Personal)</v>
      </c>
      <c r="F29" s="24" t="str">
        <f>IFERROR(VLOOKUP(D29,Datos!$B$8:$E$15,3,),"")</f>
        <v>Horas / Jornadas</v>
      </c>
      <c r="G29" s="25">
        <v>6.6</v>
      </c>
      <c r="H29" s="26">
        <f t="array" ref="H29">XLOOKUP(D29,Datos!B:B,Datos!E:E,"Error",0)</f>
        <v>7630</v>
      </c>
      <c r="I29" s="26">
        <f t="shared" ref="I29:I33" si="4">G29*H29</f>
        <v>50358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3"/>
      <c r="C30" s="13"/>
      <c r="D30" s="13" t="s">
        <v>16</v>
      </c>
      <c r="E30" s="24" t="str">
        <f>IFERROR(VLOOKUP(D30,Datos!$B$8:$E$15,2,),"")</f>
        <v>Labor (Personal)</v>
      </c>
      <c r="F30" s="24" t="str">
        <f>IFERROR(VLOOKUP(D30,Datos!$B$8:$E$15,3,),"")</f>
        <v>Horas / Jornadas</v>
      </c>
      <c r="G30" s="25">
        <v>6.6</v>
      </c>
      <c r="H30" s="26">
        <f t="array" ref="H30">XLOOKUP(D30,Datos!B:B,Datos!E:E,"Error",0)</f>
        <v>7630</v>
      </c>
      <c r="I30" s="26">
        <f t="shared" si="4"/>
        <v>50358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3"/>
      <c r="C31" s="13"/>
      <c r="D31" s="13" t="s">
        <v>17</v>
      </c>
      <c r="E31" s="24" t="str">
        <f>IFERROR(VLOOKUP(D31,Datos!$B$8:$E$15,2,),"")</f>
        <v>Labor (Personal)</v>
      </c>
      <c r="F31" s="24" t="str">
        <f>IFERROR(VLOOKUP(D31,Datos!$B$8:$E$15,3,),"")</f>
        <v>Horas / Jornadas</v>
      </c>
      <c r="G31" s="25">
        <v>6.6</v>
      </c>
      <c r="H31" s="26">
        <f t="array" ref="H31">XLOOKUP(D31,Datos!B:B,Datos!E:E,"Error",0)</f>
        <v>7630</v>
      </c>
      <c r="I31" s="26">
        <f t="shared" si="4"/>
        <v>50358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3"/>
      <c r="C32" s="13"/>
      <c r="D32" s="13" t="s">
        <v>20</v>
      </c>
      <c r="E32" s="24" t="str">
        <f>IFERROR(VLOOKUP(D32,Datos!$B$8:$E$15,2,),"")</f>
        <v>Licencias</v>
      </c>
      <c r="F32" s="24" t="str">
        <f>IFERROR(VLOOKUP(D32,Datos!$B$8:$E$15,3,),"")</f>
        <v>Cantidad</v>
      </c>
      <c r="G32" s="25">
        <v>1.0</v>
      </c>
      <c r="H32" s="26">
        <f t="array" ref="H32">XLOOKUP(D32,Datos!B:B,Datos!E:E,"Error",0)</f>
        <v>5000</v>
      </c>
      <c r="I32" s="26">
        <f t="shared" si="4"/>
        <v>5000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3"/>
      <c r="C33" s="13"/>
      <c r="D33" s="13" t="s">
        <v>21</v>
      </c>
      <c r="E33" s="24" t="str">
        <f>IFERROR(VLOOKUP(D33,Datos!$B$8:$E$15,2,),"")</f>
        <v>Licencias</v>
      </c>
      <c r="F33" s="24" t="str">
        <f>IFERROR(VLOOKUP(D33,Datos!$B$8:$E$15,3,),"")</f>
        <v>Cantidad</v>
      </c>
      <c r="G33" s="25">
        <v>1.0</v>
      </c>
      <c r="H33" s="26">
        <f t="array" ref="H33">XLOOKUP(D33,Datos!B:B,Datos!E:E,"Error",0)</f>
        <v>15000</v>
      </c>
      <c r="I33" s="26">
        <f t="shared" si="4"/>
        <v>15000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20" t="s">
        <v>38</v>
      </c>
      <c r="C34" s="21" t="s">
        <v>39</v>
      </c>
      <c r="D34" s="21"/>
      <c r="E34" s="21" t="str">
        <f>IFERROR(VLOOKUP(D34,Datos!$B$8:$E$15,2,),"")</f>
        <v/>
      </c>
      <c r="F34" s="21" t="str">
        <f>IFERROR(VLOOKUP(D34,Datos!$B$8:$E$15,3,),"")</f>
        <v/>
      </c>
      <c r="G34" s="22"/>
      <c r="H34" s="23"/>
      <c r="I34" s="23">
        <f>SUM(I35:I39)</f>
        <v>171074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3"/>
      <c r="C35" s="13"/>
      <c r="D35" s="13" t="s">
        <v>15</v>
      </c>
      <c r="E35" s="24" t="str">
        <f>IFERROR(VLOOKUP(D35,Datos!$B$8:$E$15,2,),"")</f>
        <v>Labor (Personal)</v>
      </c>
      <c r="F35" s="24" t="str">
        <f>IFERROR(VLOOKUP(D35,Datos!$B$8:$E$15,3,),"")</f>
        <v>Horas / Jornadas</v>
      </c>
      <c r="G35" s="25">
        <v>6.6</v>
      </c>
      <c r="H35" s="26">
        <f t="array" ref="H35">XLOOKUP(D35,Datos!B:B,Datos!E:E,"Error",0)</f>
        <v>7630</v>
      </c>
      <c r="I35" s="26">
        <f t="shared" ref="I35:I39" si="5">G35*H35</f>
        <v>50358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3"/>
      <c r="C36" s="13"/>
      <c r="D36" s="13" t="s">
        <v>16</v>
      </c>
      <c r="E36" s="24" t="str">
        <f>IFERROR(VLOOKUP(D36,Datos!$B$8:$E$15,2,),"")</f>
        <v>Labor (Personal)</v>
      </c>
      <c r="F36" s="24" t="str">
        <f>IFERROR(VLOOKUP(D36,Datos!$B$8:$E$15,3,),"")</f>
        <v>Horas / Jornadas</v>
      </c>
      <c r="G36" s="25">
        <v>6.6</v>
      </c>
      <c r="H36" s="26">
        <f t="array" ref="H36">XLOOKUP(D36,Datos!B:B,Datos!E:E,"Error",0)</f>
        <v>7630</v>
      </c>
      <c r="I36" s="26">
        <f t="shared" si="5"/>
        <v>50358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3"/>
      <c r="C37" s="13"/>
      <c r="D37" s="13" t="s">
        <v>17</v>
      </c>
      <c r="E37" s="24" t="str">
        <f>IFERROR(VLOOKUP(D37,Datos!$B$8:$E$15,2,),"")</f>
        <v>Labor (Personal)</v>
      </c>
      <c r="F37" s="24" t="str">
        <f>IFERROR(VLOOKUP(D37,Datos!$B$8:$E$15,3,),"")</f>
        <v>Horas / Jornadas</v>
      </c>
      <c r="G37" s="25">
        <v>6.6</v>
      </c>
      <c r="H37" s="26">
        <f t="array" ref="H37">XLOOKUP(D37,Datos!B:B,Datos!E:E,"Error",0)</f>
        <v>7630</v>
      </c>
      <c r="I37" s="26">
        <f t="shared" si="5"/>
        <v>50358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3"/>
      <c r="C38" s="13"/>
      <c r="D38" s="13" t="s">
        <v>20</v>
      </c>
      <c r="E38" s="24" t="str">
        <f>IFERROR(VLOOKUP(D38,Datos!$B$8:$E$15,2,),"")</f>
        <v>Licencias</v>
      </c>
      <c r="F38" s="24" t="str">
        <f>IFERROR(VLOOKUP(D38,Datos!$B$8:$E$15,3,),"")</f>
        <v>Cantidad</v>
      </c>
      <c r="G38" s="25">
        <v>1.0</v>
      </c>
      <c r="H38" s="26">
        <f t="array" ref="H38">XLOOKUP(D38,Datos!B:B,Datos!E:E,"Error",0)</f>
        <v>5000</v>
      </c>
      <c r="I38" s="26">
        <f t="shared" si="5"/>
        <v>5000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3"/>
      <c r="C39" s="13"/>
      <c r="D39" s="13" t="s">
        <v>21</v>
      </c>
      <c r="E39" s="24" t="str">
        <f>IFERROR(VLOOKUP(D39,Datos!$B$8:$E$15,2,),"")</f>
        <v>Licencias</v>
      </c>
      <c r="F39" s="24" t="str">
        <f>IFERROR(VLOOKUP(D39,Datos!$B$8:$E$15,3,),"")</f>
        <v>Cantidad</v>
      </c>
      <c r="G39" s="25">
        <v>1.0</v>
      </c>
      <c r="H39" s="26">
        <f t="array" ref="H39">XLOOKUP(D39,Datos!B:B,Datos!E:E,"Error",0)</f>
        <v>15000</v>
      </c>
      <c r="I39" s="26">
        <f t="shared" si="5"/>
        <v>15000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20" t="s">
        <v>40</v>
      </c>
      <c r="C40" s="21" t="s">
        <v>41</v>
      </c>
      <c r="D40" s="21"/>
      <c r="E40" s="21" t="str">
        <f>IFERROR(VLOOKUP(D40,Datos!$B$8:$E$15,2,),"")</f>
        <v/>
      </c>
      <c r="F40" s="21" t="str">
        <f>IFERROR(VLOOKUP(D40,Datos!$B$8:$E$15,3,),"")</f>
        <v/>
      </c>
      <c r="G40" s="22"/>
      <c r="H40" s="23"/>
      <c r="I40" s="23">
        <f>SUM(I41:I45)</f>
        <v>171074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3"/>
      <c r="C41" s="13"/>
      <c r="D41" s="13" t="s">
        <v>15</v>
      </c>
      <c r="E41" s="24" t="str">
        <f>IFERROR(VLOOKUP(D41,Datos!$B$8:$E$15,2,),"")</f>
        <v>Labor (Personal)</v>
      </c>
      <c r="F41" s="24" t="str">
        <f>IFERROR(VLOOKUP(D41,Datos!$B$8:$E$15,3,),"")</f>
        <v>Horas / Jornadas</v>
      </c>
      <c r="G41" s="25">
        <v>6.6</v>
      </c>
      <c r="H41" s="26">
        <f t="array" ref="H41">XLOOKUP(D41,Datos!B:B,Datos!E:E,"Error",0)</f>
        <v>7630</v>
      </c>
      <c r="I41" s="26">
        <f t="shared" ref="I41:I45" si="6">G41*H41</f>
        <v>50358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3"/>
      <c r="C42" s="13"/>
      <c r="D42" s="13" t="s">
        <v>16</v>
      </c>
      <c r="E42" s="24" t="str">
        <f>IFERROR(VLOOKUP(D42,Datos!$B$8:$E$15,2,),"")</f>
        <v>Labor (Personal)</v>
      </c>
      <c r="F42" s="24" t="str">
        <f>IFERROR(VLOOKUP(D42,Datos!$B$8:$E$15,3,),"")</f>
        <v>Horas / Jornadas</v>
      </c>
      <c r="G42" s="25">
        <v>6.6</v>
      </c>
      <c r="H42" s="26">
        <f t="array" ref="H42">XLOOKUP(D42,Datos!B:B,Datos!E:E,"Error",0)</f>
        <v>7630</v>
      </c>
      <c r="I42" s="26">
        <f t="shared" si="6"/>
        <v>50358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3"/>
      <c r="C43" s="13"/>
      <c r="D43" s="13" t="s">
        <v>17</v>
      </c>
      <c r="E43" s="24" t="str">
        <f>IFERROR(VLOOKUP(D43,Datos!$B$8:$E$15,2,),"")</f>
        <v>Labor (Personal)</v>
      </c>
      <c r="F43" s="24" t="str">
        <f>IFERROR(VLOOKUP(D43,Datos!$B$8:$E$15,3,),"")</f>
        <v>Horas / Jornadas</v>
      </c>
      <c r="G43" s="25">
        <v>6.6</v>
      </c>
      <c r="H43" s="26">
        <f t="array" ref="H43">XLOOKUP(D43,Datos!B:B,Datos!E:E,"Error",0)</f>
        <v>7630</v>
      </c>
      <c r="I43" s="26">
        <f t="shared" si="6"/>
        <v>50358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3"/>
      <c r="C44" s="13"/>
      <c r="D44" s="13" t="s">
        <v>20</v>
      </c>
      <c r="E44" s="24" t="str">
        <f>IFERROR(VLOOKUP(D44,Datos!$B$8:$E$15,2,),"")</f>
        <v>Licencias</v>
      </c>
      <c r="F44" s="24" t="str">
        <f>IFERROR(VLOOKUP(D44,Datos!$B$8:$E$15,3,),"")</f>
        <v>Cantidad</v>
      </c>
      <c r="G44" s="25">
        <v>1.0</v>
      </c>
      <c r="H44" s="26">
        <f t="array" ref="H44">XLOOKUP(D44,Datos!B:B,Datos!E:E,"Error",0)</f>
        <v>5000</v>
      </c>
      <c r="I44" s="26">
        <f t="shared" si="6"/>
        <v>5000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3"/>
      <c r="C45" s="13"/>
      <c r="D45" s="13" t="s">
        <v>21</v>
      </c>
      <c r="E45" s="24" t="str">
        <f>IFERROR(VLOOKUP(D45,Datos!$B$8:$E$15,2,),"")</f>
        <v>Licencias</v>
      </c>
      <c r="F45" s="24" t="str">
        <f>IFERROR(VLOOKUP(D45,Datos!$B$8:$E$15,3,),"")</f>
        <v>Cantidad</v>
      </c>
      <c r="G45" s="25">
        <v>1.0</v>
      </c>
      <c r="H45" s="26">
        <f t="array" ref="H45">XLOOKUP(D45,Datos!B:B,Datos!E:E,"Error",0)</f>
        <v>15000</v>
      </c>
      <c r="I45" s="26">
        <f t="shared" si="6"/>
        <v>15000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20" t="s">
        <v>42</v>
      </c>
      <c r="C46" s="21" t="s">
        <v>43</v>
      </c>
      <c r="D46" s="21"/>
      <c r="E46" s="21" t="str">
        <f>IFERROR(VLOOKUP(D46,Datos!$B$8:$E$15,2,),"")</f>
        <v/>
      </c>
      <c r="F46" s="21" t="str">
        <f>IFERROR(VLOOKUP(D46,Datos!$B$8:$E$15,3,),"")</f>
        <v/>
      </c>
      <c r="G46" s="22"/>
      <c r="H46" s="23"/>
      <c r="I46" s="23">
        <f>SUM(I47:I51)</f>
        <v>171074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3"/>
      <c r="C47" s="13"/>
      <c r="D47" s="13" t="s">
        <v>15</v>
      </c>
      <c r="E47" s="24" t="str">
        <f>IFERROR(VLOOKUP(D47,Datos!$B$8:$E$15,2,),"")</f>
        <v>Labor (Personal)</v>
      </c>
      <c r="F47" s="24" t="str">
        <f>IFERROR(VLOOKUP(D47,Datos!$B$8:$E$15,3,),"")</f>
        <v>Horas / Jornadas</v>
      </c>
      <c r="G47" s="25">
        <v>6.6</v>
      </c>
      <c r="H47" s="26">
        <f t="array" ref="H47">XLOOKUP(D47,Datos!B:B,Datos!E:E,"Error",0)</f>
        <v>7630</v>
      </c>
      <c r="I47" s="26">
        <f t="shared" ref="I47:I51" si="7">G47*H47</f>
        <v>50358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3"/>
      <c r="C48" s="13"/>
      <c r="D48" s="13" t="s">
        <v>16</v>
      </c>
      <c r="E48" s="24" t="str">
        <f>IFERROR(VLOOKUP(D48,Datos!$B$8:$E$15,2,),"")</f>
        <v>Labor (Personal)</v>
      </c>
      <c r="F48" s="24" t="str">
        <f>IFERROR(VLOOKUP(D48,Datos!$B$8:$E$15,3,),"")</f>
        <v>Horas / Jornadas</v>
      </c>
      <c r="G48" s="25">
        <v>6.6</v>
      </c>
      <c r="H48" s="26">
        <f t="array" ref="H48">XLOOKUP(D48,Datos!B:B,Datos!E:E,"Error",0)</f>
        <v>7630</v>
      </c>
      <c r="I48" s="26">
        <f t="shared" si="7"/>
        <v>50358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3"/>
      <c r="C49" s="13"/>
      <c r="D49" s="13" t="s">
        <v>17</v>
      </c>
      <c r="E49" s="24" t="str">
        <f>IFERROR(VLOOKUP(D49,Datos!$B$8:$E$15,2,),"")</f>
        <v>Labor (Personal)</v>
      </c>
      <c r="F49" s="24" t="str">
        <f>IFERROR(VLOOKUP(D49,Datos!$B$8:$E$15,3,),"")</f>
        <v>Horas / Jornadas</v>
      </c>
      <c r="G49" s="25">
        <v>6.6</v>
      </c>
      <c r="H49" s="26">
        <f t="array" ref="H49">XLOOKUP(D49,Datos!B:B,Datos!E:E,"Error",0)</f>
        <v>7630</v>
      </c>
      <c r="I49" s="26">
        <f t="shared" si="7"/>
        <v>50358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3"/>
      <c r="C50" s="13"/>
      <c r="D50" s="13" t="s">
        <v>20</v>
      </c>
      <c r="E50" s="24" t="str">
        <f>IFERROR(VLOOKUP(D50,Datos!$B$8:$E$15,2,),"")</f>
        <v>Licencias</v>
      </c>
      <c r="F50" s="24" t="str">
        <f>IFERROR(VLOOKUP(D50,Datos!$B$8:$E$15,3,),"")</f>
        <v>Cantidad</v>
      </c>
      <c r="G50" s="25">
        <v>1.0</v>
      </c>
      <c r="H50" s="26">
        <f t="array" ref="H50">XLOOKUP(D50,Datos!B:B,Datos!E:E,"Error",0)</f>
        <v>5000</v>
      </c>
      <c r="I50" s="26">
        <f t="shared" si="7"/>
        <v>5000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3"/>
      <c r="C51" s="13"/>
      <c r="D51" s="13" t="s">
        <v>21</v>
      </c>
      <c r="E51" s="24" t="str">
        <f>IFERROR(VLOOKUP(D51,Datos!$B$8:$E$15,2,),"")</f>
        <v>Licencias</v>
      </c>
      <c r="F51" s="24" t="str">
        <f>IFERROR(VLOOKUP(D51,Datos!$B$8:$E$15,3,),"")</f>
        <v>Cantidad</v>
      </c>
      <c r="G51" s="25">
        <v>1.0</v>
      </c>
      <c r="H51" s="26">
        <f t="array" ref="H51">XLOOKUP(D51,Datos!B:B,Datos!E:E,"Error",0)</f>
        <v>15000</v>
      </c>
      <c r="I51" s="26">
        <f t="shared" si="7"/>
        <v>15000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20">
        <v>45870.0</v>
      </c>
      <c r="C52" s="21" t="s">
        <v>44</v>
      </c>
      <c r="D52" s="21"/>
      <c r="E52" s="21" t="str">
        <f>IFERROR(VLOOKUP(D52,Datos!$B$8:$E$15,2,),"")</f>
        <v/>
      </c>
      <c r="F52" s="21" t="str">
        <f>IFERROR(VLOOKUP(D52,Datos!$B$8:$E$15,3,),"")</f>
        <v/>
      </c>
      <c r="G52" s="22"/>
      <c r="H52" s="23"/>
      <c r="I52" s="23">
        <f>SUM(I53:I57)</f>
        <v>324437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3"/>
      <c r="C53" s="13"/>
      <c r="D53" s="13" t="s">
        <v>15</v>
      </c>
      <c r="E53" s="24" t="str">
        <f>IFERROR(VLOOKUP(D53,Datos!$B$8:$E$15,2,),"")</f>
        <v>Labor (Personal)</v>
      </c>
      <c r="F53" s="24" t="str">
        <f>IFERROR(VLOOKUP(D53,Datos!$B$8:$E$15,3,),"")</f>
        <v>Horas / Jornadas</v>
      </c>
      <c r="G53" s="25">
        <v>13.3</v>
      </c>
      <c r="H53" s="26">
        <f t="array" ref="H53">XLOOKUP(D53,Datos!B:B,Datos!E:E,"Error",0)</f>
        <v>7630</v>
      </c>
      <c r="I53" s="26">
        <f t="shared" ref="I53:I57" si="8">G53*H53</f>
        <v>101479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3"/>
      <c r="C54" s="13"/>
      <c r="D54" s="13" t="s">
        <v>16</v>
      </c>
      <c r="E54" s="24" t="str">
        <f>IFERROR(VLOOKUP(D54,Datos!$B$8:$E$15,2,),"")</f>
        <v>Labor (Personal)</v>
      </c>
      <c r="F54" s="24" t="str">
        <f>IFERROR(VLOOKUP(D54,Datos!$B$8:$E$15,3,),"")</f>
        <v>Horas / Jornadas</v>
      </c>
      <c r="G54" s="25">
        <v>13.3</v>
      </c>
      <c r="H54" s="26">
        <f t="array" ref="H54">XLOOKUP(D54,Datos!B:B,Datos!E:E,"Error",0)</f>
        <v>7630</v>
      </c>
      <c r="I54" s="26">
        <f t="shared" si="8"/>
        <v>101479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3"/>
      <c r="C55" s="13"/>
      <c r="D55" s="13" t="s">
        <v>17</v>
      </c>
      <c r="E55" s="24" t="str">
        <f>IFERROR(VLOOKUP(D55,Datos!$B$8:$E$15,2,),"")</f>
        <v>Labor (Personal)</v>
      </c>
      <c r="F55" s="24" t="str">
        <f>IFERROR(VLOOKUP(D55,Datos!$B$8:$E$15,3,),"")</f>
        <v>Horas / Jornadas</v>
      </c>
      <c r="G55" s="25">
        <v>13.3</v>
      </c>
      <c r="H55" s="26">
        <f t="array" ref="H55">XLOOKUP(D55,Datos!B:B,Datos!E:E,"Error",0)</f>
        <v>7630</v>
      </c>
      <c r="I55" s="26">
        <f t="shared" si="8"/>
        <v>101479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3"/>
      <c r="C56" s="13"/>
      <c r="D56" s="13" t="s">
        <v>20</v>
      </c>
      <c r="E56" s="24" t="str">
        <f>IFERROR(VLOOKUP(D56,Datos!$B$8:$E$15,2,),"")</f>
        <v>Licencias</v>
      </c>
      <c r="F56" s="24" t="str">
        <f>IFERROR(VLOOKUP(D56,Datos!$B$8:$E$15,3,),"")</f>
        <v>Cantidad</v>
      </c>
      <c r="G56" s="25">
        <v>1.0</v>
      </c>
      <c r="H56" s="26">
        <f t="array" ref="H56">XLOOKUP(D56,Datos!B:B,Datos!E:E,"Error",0)</f>
        <v>5000</v>
      </c>
      <c r="I56" s="26">
        <f t="shared" si="8"/>
        <v>5000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3"/>
      <c r="C57" s="13"/>
      <c r="D57" s="13" t="s">
        <v>21</v>
      </c>
      <c r="E57" s="24" t="str">
        <f>IFERROR(VLOOKUP(D57,Datos!$B$8:$E$15,2,),"")</f>
        <v>Licencias</v>
      </c>
      <c r="F57" s="24" t="str">
        <f>IFERROR(VLOOKUP(D57,Datos!$B$8:$E$15,3,),"")</f>
        <v>Cantidad</v>
      </c>
      <c r="G57" s="25">
        <v>1.0</v>
      </c>
      <c r="H57" s="26">
        <f t="array" ref="H57">XLOOKUP(D57,Datos!B:B,Datos!E:E,"Error",0)</f>
        <v>15000</v>
      </c>
      <c r="I57" s="26">
        <f t="shared" si="8"/>
        <v>15000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20">
        <v>45901.0</v>
      </c>
      <c r="C58" s="21" t="s">
        <v>45</v>
      </c>
      <c r="D58" s="21"/>
      <c r="E58" s="21" t="str">
        <f>IFERROR(VLOOKUP(D58,Datos!$B$8:$E$15,2,),"")</f>
        <v/>
      </c>
      <c r="F58" s="21" t="str">
        <f>IFERROR(VLOOKUP(D58,Datos!$B$8:$E$15,3,),"")</f>
        <v/>
      </c>
      <c r="G58" s="22"/>
      <c r="H58" s="23"/>
      <c r="I58" s="23">
        <f>SUM(I59:I63)</f>
        <v>171074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3"/>
      <c r="C59" s="13"/>
      <c r="D59" s="13" t="s">
        <v>15</v>
      </c>
      <c r="E59" s="24" t="str">
        <f>IFERROR(VLOOKUP(D59,Datos!$B$8:$E$15,2,),"")</f>
        <v>Labor (Personal)</v>
      </c>
      <c r="F59" s="24" t="str">
        <f>IFERROR(VLOOKUP(D59,Datos!$B$8:$E$15,3,),"")</f>
        <v>Horas / Jornadas</v>
      </c>
      <c r="G59" s="25">
        <v>6.6</v>
      </c>
      <c r="H59" s="26">
        <f t="array" ref="H59">XLOOKUP(D59,Datos!B:B,Datos!E:E,"Error",0)</f>
        <v>7630</v>
      </c>
      <c r="I59" s="26">
        <f t="shared" ref="I59:I63" si="9">G59*H59</f>
        <v>50358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3"/>
      <c r="C60" s="13"/>
      <c r="D60" s="13" t="s">
        <v>16</v>
      </c>
      <c r="E60" s="24" t="str">
        <f>IFERROR(VLOOKUP(D60,Datos!$B$8:$E$15,2,),"")</f>
        <v>Labor (Personal)</v>
      </c>
      <c r="F60" s="24" t="str">
        <f>IFERROR(VLOOKUP(D60,Datos!$B$8:$E$15,3,),"")</f>
        <v>Horas / Jornadas</v>
      </c>
      <c r="G60" s="25">
        <v>6.6</v>
      </c>
      <c r="H60" s="26">
        <f t="array" ref="H60">XLOOKUP(D60,Datos!B:B,Datos!E:E,"Error",0)</f>
        <v>7630</v>
      </c>
      <c r="I60" s="26">
        <f t="shared" si="9"/>
        <v>50358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3"/>
      <c r="C61" s="13"/>
      <c r="D61" s="13" t="s">
        <v>17</v>
      </c>
      <c r="E61" s="24" t="str">
        <f>IFERROR(VLOOKUP(D61,Datos!$B$8:$E$15,2,),"")</f>
        <v>Labor (Personal)</v>
      </c>
      <c r="F61" s="24" t="str">
        <f>IFERROR(VLOOKUP(D61,Datos!$B$8:$E$15,3,),"")</f>
        <v>Horas / Jornadas</v>
      </c>
      <c r="G61" s="25">
        <v>6.6</v>
      </c>
      <c r="H61" s="26">
        <f t="array" ref="H61">XLOOKUP(D61,Datos!B:B,Datos!E:E,"Error",0)</f>
        <v>7630</v>
      </c>
      <c r="I61" s="26">
        <f t="shared" si="9"/>
        <v>50358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3"/>
      <c r="C62" s="13"/>
      <c r="D62" s="13" t="s">
        <v>20</v>
      </c>
      <c r="E62" s="24" t="str">
        <f>IFERROR(VLOOKUP(D62,Datos!$B$8:$E$15,2,),"")</f>
        <v>Licencias</v>
      </c>
      <c r="F62" s="24" t="str">
        <f>IFERROR(VLOOKUP(D62,Datos!$B$8:$E$15,3,),"")</f>
        <v>Cantidad</v>
      </c>
      <c r="G62" s="25">
        <v>1.0</v>
      </c>
      <c r="H62" s="26">
        <f t="array" ref="H62">XLOOKUP(D62,Datos!B:B,Datos!E:E,"Error",0)</f>
        <v>5000</v>
      </c>
      <c r="I62" s="26">
        <f t="shared" si="9"/>
        <v>5000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3"/>
      <c r="C63" s="13"/>
      <c r="D63" s="13" t="s">
        <v>21</v>
      </c>
      <c r="E63" s="24" t="str">
        <f>IFERROR(VLOOKUP(D63,Datos!$B$8:$E$15,2,),"")</f>
        <v>Licencias</v>
      </c>
      <c r="F63" s="24" t="str">
        <f>IFERROR(VLOOKUP(D63,Datos!$B$8:$E$15,3,),"")</f>
        <v>Cantidad</v>
      </c>
      <c r="G63" s="25">
        <v>1.0</v>
      </c>
      <c r="H63" s="26">
        <f t="array" ref="H63">XLOOKUP(D63,Datos!B:B,Datos!E:E,"Error",0)</f>
        <v>15000</v>
      </c>
      <c r="I63" s="26">
        <f t="shared" si="9"/>
        <v>15000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20">
        <v>45931.0</v>
      </c>
      <c r="C64" s="21" t="s">
        <v>46</v>
      </c>
      <c r="D64" s="21"/>
      <c r="E64" s="21" t="str">
        <f>IFERROR(VLOOKUP(D64,Datos!$B$8:$E$15,2,),"")</f>
        <v/>
      </c>
      <c r="F64" s="21" t="str">
        <f>IFERROR(VLOOKUP(D64,Datos!$B$8:$E$15,3,),"")</f>
        <v/>
      </c>
      <c r="G64" s="22"/>
      <c r="H64" s="23"/>
      <c r="I64" s="23">
        <f>SUM(I65:I69)</f>
        <v>79514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3"/>
      <c r="C65" s="13"/>
      <c r="D65" s="13" t="s">
        <v>15</v>
      </c>
      <c r="E65" s="24" t="str">
        <f>IFERROR(VLOOKUP(D65,Datos!$B$8:$E$15,2,),"")</f>
        <v>Labor (Personal)</v>
      </c>
      <c r="F65" s="24" t="str">
        <f>IFERROR(VLOOKUP(D65,Datos!$B$8:$E$15,3,),"")</f>
        <v>Horas / Jornadas</v>
      </c>
      <c r="G65" s="25">
        <v>2.6</v>
      </c>
      <c r="H65" s="26">
        <f t="array" ref="H65">XLOOKUP(D65,Datos!B:B,Datos!E:E,"Error",0)</f>
        <v>7630</v>
      </c>
      <c r="I65" s="26">
        <f t="shared" ref="I65:I69" si="10">G65*H65</f>
        <v>19838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3"/>
      <c r="C66" s="13"/>
      <c r="D66" s="13" t="s">
        <v>16</v>
      </c>
      <c r="E66" s="24" t="str">
        <f>IFERROR(VLOOKUP(D66,Datos!$B$8:$E$15,2,),"")</f>
        <v>Labor (Personal)</v>
      </c>
      <c r="F66" s="24" t="str">
        <f>IFERROR(VLOOKUP(D66,Datos!$B$8:$E$15,3,),"")</f>
        <v>Horas / Jornadas</v>
      </c>
      <c r="G66" s="25">
        <v>2.6</v>
      </c>
      <c r="H66" s="26">
        <f t="array" ref="H66">XLOOKUP(D66,Datos!B:B,Datos!E:E,"Error",0)</f>
        <v>7630</v>
      </c>
      <c r="I66" s="26">
        <f t="shared" si="10"/>
        <v>19838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3"/>
      <c r="C67" s="13"/>
      <c r="D67" s="13" t="s">
        <v>17</v>
      </c>
      <c r="E67" s="24" t="str">
        <f>IFERROR(VLOOKUP(D67,Datos!$B$8:$E$15,2,),"")</f>
        <v>Labor (Personal)</v>
      </c>
      <c r="F67" s="24" t="str">
        <f>IFERROR(VLOOKUP(D67,Datos!$B$8:$E$15,3,),"")</f>
        <v>Horas / Jornadas</v>
      </c>
      <c r="G67" s="25">
        <v>2.6</v>
      </c>
      <c r="H67" s="26">
        <f t="array" ref="H67">XLOOKUP(D67,Datos!B:B,Datos!E:E,"Error",0)</f>
        <v>7630</v>
      </c>
      <c r="I67" s="26">
        <f t="shared" si="10"/>
        <v>19838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3"/>
      <c r="C68" s="13"/>
      <c r="D68" s="13" t="s">
        <v>20</v>
      </c>
      <c r="E68" s="24" t="str">
        <f>IFERROR(VLOOKUP(D68,Datos!$B$8:$E$15,2,),"")</f>
        <v>Licencias</v>
      </c>
      <c r="F68" s="24" t="str">
        <f>IFERROR(VLOOKUP(D68,Datos!$B$8:$E$15,3,),"")</f>
        <v>Cantidad</v>
      </c>
      <c r="G68" s="25">
        <v>1.0</v>
      </c>
      <c r="H68" s="26">
        <f t="array" ref="H68">XLOOKUP(D68,Datos!B:B,Datos!E:E,"Error",0)</f>
        <v>5000</v>
      </c>
      <c r="I68" s="26">
        <f t="shared" si="10"/>
        <v>5000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3"/>
      <c r="C69" s="13"/>
      <c r="D69" s="13" t="s">
        <v>21</v>
      </c>
      <c r="E69" s="24" t="str">
        <f>IFERROR(VLOOKUP(D69,Datos!$B$8:$E$15,2,),"")</f>
        <v>Licencias</v>
      </c>
      <c r="F69" s="24" t="str">
        <f>IFERROR(VLOOKUP(D69,Datos!$B$8:$E$15,3,),"")</f>
        <v>Cantidad</v>
      </c>
      <c r="G69" s="25">
        <v>1.0</v>
      </c>
      <c r="H69" s="26">
        <f t="array" ref="H69">XLOOKUP(D69,Datos!B:B,Datos!E:E,"Error",0)</f>
        <v>15000</v>
      </c>
      <c r="I69" s="26">
        <f t="shared" si="10"/>
        <v>15000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20">
        <v>45962.0</v>
      </c>
      <c r="C70" s="21" t="s">
        <v>47</v>
      </c>
      <c r="D70" s="21"/>
      <c r="E70" s="21" t="str">
        <f>IFERROR(VLOOKUP(D70,Datos!$B$8:$E$15,2,),"")</f>
        <v/>
      </c>
      <c r="F70" s="21" t="str">
        <f>IFERROR(VLOOKUP(D70,Datos!$B$8:$E$15,3,),"")</f>
        <v/>
      </c>
      <c r="G70" s="22"/>
      <c r="H70" s="23"/>
      <c r="I70" s="23">
        <f>SUM(I71:I75)</f>
        <v>171074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3"/>
      <c r="C71" s="13"/>
      <c r="D71" s="13" t="s">
        <v>15</v>
      </c>
      <c r="E71" s="24" t="str">
        <f>IFERROR(VLOOKUP(D71,Datos!$B$8:$E$15,2,),"")</f>
        <v>Labor (Personal)</v>
      </c>
      <c r="F71" s="24" t="str">
        <f>IFERROR(VLOOKUP(D71,Datos!$B$8:$E$15,3,),"")</f>
        <v>Horas / Jornadas</v>
      </c>
      <c r="G71" s="25">
        <v>6.6</v>
      </c>
      <c r="H71" s="26">
        <f t="array" ref="H71">XLOOKUP(D71,Datos!B:B,Datos!E:E,"Error",0)</f>
        <v>7630</v>
      </c>
      <c r="I71" s="26">
        <f t="shared" ref="I71:I75" si="11">G71*H71</f>
        <v>50358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3"/>
      <c r="C72" s="13"/>
      <c r="D72" s="13" t="s">
        <v>16</v>
      </c>
      <c r="E72" s="24" t="str">
        <f>IFERROR(VLOOKUP(D72,Datos!$B$8:$E$15,2,),"")</f>
        <v>Labor (Personal)</v>
      </c>
      <c r="F72" s="24" t="str">
        <f>IFERROR(VLOOKUP(D72,Datos!$B$8:$E$15,3,),"")</f>
        <v>Horas / Jornadas</v>
      </c>
      <c r="G72" s="25">
        <v>6.6</v>
      </c>
      <c r="H72" s="26">
        <f t="array" ref="H72">XLOOKUP(D72,Datos!B:B,Datos!E:E,"Error",0)</f>
        <v>7630</v>
      </c>
      <c r="I72" s="26">
        <f t="shared" si="11"/>
        <v>50358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3"/>
      <c r="C73" s="13"/>
      <c r="D73" s="13" t="s">
        <v>17</v>
      </c>
      <c r="E73" s="24" t="str">
        <f>IFERROR(VLOOKUP(D73,Datos!$B$8:$E$15,2,),"")</f>
        <v>Labor (Personal)</v>
      </c>
      <c r="F73" s="24" t="str">
        <f>IFERROR(VLOOKUP(D73,Datos!$B$8:$E$15,3,),"")</f>
        <v>Horas / Jornadas</v>
      </c>
      <c r="G73" s="25">
        <v>6.6</v>
      </c>
      <c r="H73" s="26">
        <f t="array" ref="H73">XLOOKUP(D73,Datos!B:B,Datos!E:E,"Error",0)</f>
        <v>7630</v>
      </c>
      <c r="I73" s="26">
        <f t="shared" si="11"/>
        <v>50358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3"/>
      <c r="C74" s="13"/>
      <c r="D74" s="13" t="s">
        <v>20</v>
      </c>
      <c r="E74" s="24" t="str">
        <f>IFERROR(VLOOKUP(D74,Datos!$B$8:$E$15,2,),"")</f>
        <v>Licencias</v>
      </c>
      <c r="F74" s="24" t="str">
        <f>IFERROR(VLOOKUP(D74,Datos!$B$8:$E$15,3,),"")</f>
        <v>Cantidad</v>
      </c>
      <c r="G74" s="25">
        <v>1.0</v>
      </c>
      <c r="H74" s="26">
        <f t="array" ref="H74">XLOOKUP(D74,Datos!B:B,Datos!E:E,"Error",0)</f>
        <v>5000</v>
      </c>
      <c r="I74" s="26">
        <f t="shared" si="11"/>
        <v>5000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3"/>
      <c r="C75" s="13"/>
      <c r="D75" s="13" t="s">
        <v>21</v>
      </c>
      <c r="E75" s="24" t="str">
        <f>IFERROR(VLOOKUP(D75,Datos!$B$8:$E$15,2,),"")</f>
        <v>Licencias</v>
      </c>
      <c r="F75" s="24" t="str">
        <f>IFERROR(VLOOKUP(D75,Datos!$B$8:$E$15,3,),"")</f>
        <v>Cantidad</v>
      </c>
      <c r="G75" s="25">
        <v>1.0</v>
      </c>
      <c r="H75" s="26">
        <f t="array" ref="H75">XLOOKUP(D75,Datos!B:B,Datos!E:E,"Error",0)</f>
        <v>15000</v>
      </c>
      <c r="I75" s="26">
        <f t="shared" si="11"/>
        <v>15000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20">
        <v>45992.0</v>
      </c>
      <c r="C76" s="21" t="s">
        <v>48</v>
      </c>
      <c r="D76" s="21"/>
      <c r="E76" s="21" t="str">
        <f>IFERROR(VLOOKUP(D76,Datos!$B$8:$E$15,2,),"")</f>
        <v/>
      </c>
      <c r="F76" s="21" t="str">
        <f>IFERROR(VLOOKUP(D76,Datos!$B$8:$E$15,3,),"")</f>
        <v/>
      </c>
      <c r="G76" s="22"/>
      <c r="H76" s="23"/>
      <c r="I76" s="23">
        <f>SUM(I77:I81)</f>
        <v>79514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3"/>
      <c r="C77" s="13"/>
      <c r="D77" s="13" t="s">
        <v>15</v>
      </c>
      <c r="E77" s="24" t="str">
        <f>IFERROR(VLOOKUP(D77,Datos!$B$8:$E$15,2,),"")</f>
        <v>Labor (Personal)</v>
      </c>
      <c r="F77" s="24" t="str">
        <f>IFERROR(VLOOKUP(D77,Datos!$B$8:$E$15,3,),"")</f>
        <v>Horas / Jornadas</v>
      </c>
      <c r="G77" s="25">
        <v>2.6</v>
      </c>
      <c r="H77" s="26">
        <f t="array" ref="H77">XLOOKUP(D77,Datos!B:B,Datos!E:E,"Error",0)</f>
        <v>7630</v>
      </c>
      <c r="I77" s="26">
        <f t="shared" ref="I77:I81" si="12">G77*H77</f>
        <v>19838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3"/>
      <c r="C78" s="13"/>
      <c r="D78" s="13" t="s">
        <v>16</v>
      </c>
      <c r="E78" s="24" t="str">
        <f>IFERROR(VLOOKUP(D78,Datos!$B$8:$E$15,2,),"")</f>
        <v>Labor (Personal)</v>
      </c>
      <c r="F78" s="24" t="str">
        <f>IFERROR(VLOOKUP(D78,Datos!$B$8:$E$15,3,),"")</f>
        <v>Horas / Jornadas</v>
      </c>
      <c r="G78" s="25">
        <v>2.6</v>
      </c>
      <c r="H78" s="26">
        <f t="array" ref="H78">XLOOKUP(D78,Datos!B:B,Datos!E:E,"Error",0)</f>
        <v>7630</v>
      </c>
      <c r="I78" s="26">
        <f t="shared" si="12"/>
        <v>19838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3"/>
      <c r="C79" s="13"/>
      <c r="D79" s="13" t="s">
        <v>17</v>
      </c>
      <c r="E79" s="24" t="str">
        <f>IFERROR(VLOOKUP(D79,Datos!$B$8:$E$15,2,),"")</f>
        <v>Labor (Personal)</v>
      </c>
      <c r="F79" s="24" t="str">
        <f>IFERROR(VLOOKUP(D79,Datos!$B$8:$E$15,3,),"")</f>
        <v>Horas / Jornadas</v>
      </c>
      <c r="G79" s="25">
        <v>2.6</v>
      </c>
      <c r="H79" s="26">
        <f t="array" ref="H79">XLOOKUP(D79,Datos!B:B,Datos!E:E,"Error",0)</f>
        <v>7630</v>
      </c>
      <c r="I79" s="26">
        <f t="shared" si="12"/>
        <v>19838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3"/>
      <c r="C80" s="13"/>
      <c r="D80" s="13" t="s">
        <v>20</v>
      </c>
      <c r="E80" s="24" t="str">
        <f>IFERROR(VLOOKUP(D80,Datos!$B$8:$E$15,2,),"")</f>
        <v>Licencias</v>
      </c>
      <c r="F80" s="24" t="str">
        <f>IFERROR(VLOOKUP(D80,Datos!$B$8:$E$15,3,),"")</f>
        <v>Cantidad</v>
      </c>
      <c r="G80" s="25">
        <v>1.0</v>
      </c>
      <c r="H80" s="26">
        <f t="array" ref="H80">XLOOKUP(D80,Datos!B:B,Datos!E:E,"Error",0)</f>
        <v>5000</v>
      </c>
      <c r="I80" s="26">
        <f t="shared" si="12"/>
        <v>5000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3"/>
      <c r="C81" s="13"/>
      <c r="D81" s="13" t="s">
        <v>21</v>
      </c>
      <c r="E81" s="24" t="str">
        <f>IFERROR(VLOOKUP(D81,Datos!$B$8:$E$15,2,),"")</f>
        <v>Licencias</v>
      </c>
      <c r="F81" s="24" t="str">
        <f>IFERROR(VLOOKUP(D81,Datos!$B$8:$E$15,3,),"")</f>
        <v>Cantidad</v>
      </c>
      <c r="G81" s="25">
        <v>1.0</v>
      </c>
      <c r="H81" s="26">
        <f t="array" ref="H81">XLOOKUP(D81,Datos!B:B,Datos!E:E,"Error",0)</f>
        <v>15000</v>
      </c>
      <c r="I81" s="26">
        <f t="shared" si="12"/>
        <v>15000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21" t="s">
        <v>49</v>
      </c>
      <c r="C82" s="21" t="s">
        <v>50</v>
      </c>
      <c r="D82" s="21"/>
      <c r="E82" s="21" t="str">
        <f>IFERROR(VLOOKUP(D82,Datos!$B$8:$E$15,2,),"")</f>
        <v/>
      </c>
      <c r="F82" s="21" t="str">
        <f>IFERROR(VLOOKUP(D82,Datos!$B$8:$E$15,3,),"")</f>
        <v/>
      </c>
      <c r="G82" s="22"/>
      <c r="H82" s="23"/>
      <c r="I82" s="23">
        <f>SUM(I83:I87)</f>
        <v>171074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3"/>
      <c r="C83" s="13"/>
      <c r="D83" s="13" t="s">
        <v>15</v>
      </c>
      <c r="E83" s="24" t="str">
        <f>IFERROR(VLOOKUP(D83,Datos!$B$8:$E$15,2,),"")</f>
        <v>Labor (Personal)</v>
      </c>
      <c r="F83" s="24" t="str">
        <f>IFERROR(VLOOKUP(D83,Datos!$B$8:$E$15,3,),"")</f>
        <v>Horas / Jornadas</v>
      </c>
      <c r="G83" s="25">
        <v>6.6</v>
      </c>
      <c r="H83" s="26">
        <f t="array" ref="H83">XLOOKUP(D83,Datos!B:B,Datos!E:E,"Error",0)</f>
        <v>7630</v>
      </c>
      <c r="I83" s="26">
        <f t="shared" ref="I83:I87" si="13">G83*H83</f>
        <v>50358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3"/>
      <c r="C84" s="13"/>
      <c r="D84" s="13" t="s">
        <v>16</v>
      </c>
      <c r="E84" s="24" t="str">
        <f>IFERROR(VLOOKUP(D84,Datos!$B$8:$E$15,2,),"")</f>
        <v>Labor (Personal)</v>
      </c>
      <c r="F84" s="24" t="str">
        <f>IFERROR(VLOOKUP(D84,Datos!$B$8:$E$15,3,),"")</f>
        <v>Horas / Jornadas</v>
      </c>
      <c r="G84" s="25">
        <v>6.6</v>
      </c>
      <c r="H84" s="26">
        <f t="array" ref="H84">XLOOKUP(D84,Datos!B:B,Datos!E:E,"Error",0)</f>
        <v>7630</v>
      </c>
      <c r="I84" s="26">
        <f t="shared" si="13"/>
        <v>50358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3"/>
      <c r="C85" s="13"/>
      <c r="D85" s="13" t="s">
        <v>17</v>
      </c>
      <c r="E85" s="24" t="str">
        <f>IFERROR(VLOOKUP(D85,Datos!$B$8:$E$15,2,),"")</f>
        <v>Labor (Personal)</v>
      </c>
      <c r="F85" s="24" t="str">
        <f>IFERROR(VLOOKUP(D85,Datos!$B$8:$E$15,3,),"")</f>
        <v>Horas / Jornadas</v>
      </c>
      <c r="G85" s="25">
        <v>6.6</v>
      </c>
      <c r="H85" s="26">
        <f t="array" ref="H85">XLOOKUP(D85,Datos!B:B,Datos!E:E,"Error",0)</f>
        <v>7630</v>
      </c>
      <c r="I85" s="26">
        <f t="shared" si="13"/>
        <v>50358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3"/>
      <c r="C86" s="13"/>
      <c r="D86" s="13" t="s">
        <v>20</v>
      </c>
      <c r="E86" s="24" t="str">
        <f>IFERROR(VLOOKUP(D86,Datos!$B$8:$E$15,2,),"")</f>
        <v>Licencias</v>
      </c>
      <c r="F86" s="24" t="str">
        <f>IFERROR(VLOOKUP(D86,Datos!$B$8:$E$15,3,),"")</f>
        <v>Cantidad</v>
      </c>
      <c r="G86" s="25">
        <v>1.0</v>
      </c>
      <c r="H86" s="26">
        <f t="array" ref="H86">XLOOKUP(D86,Datos!B:B,Datos!E:E,"Error",0)</f>
        <v>5000</v>
      </c>
      <c r="I86" s="26">
        <f t="shared" si="13"/>
        <v>5000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3"/>
      <c r="C87" s="13"/>
      <c r="D87" s="13" t="s">
        <v>21</v>
      </c>
      <c r="E87" s="24" t="str">
        <f>IFERROR(VLOOKUP(D87,Datos!$B$8:$E$15,2,),"")</f>
        <v>Licencias</v>
      </c>
      <c r="F87" s="24" t="str">
        <f>IFERROR(VLOOKUP(D87,Datos!$B$8:$E$15,3,),"")</f>
        <v>Cantidad</v>
      </c>
      <c r="G87" s="25">
        <v>1.0</v>
      </c>
      <c r="H87" s="26">
        <f t="array" ref="H87">XLOOKUP(D87,Datos!B:B,Datos!E:E,"Error",0)</f>
        <v>15000</v>
      </c>
      <c r="I87" s="26">
        <f t="shared" si="13"/>
        <v>15000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/>
      <c r="B88" s="11">
        <v>2.0</v>
      </c>
      <c r="C88" s="11" t="s">
        <v>51</v>
      </c>
      <c r="D88" s="17"/>
      <c r="E88" s="17"/>
      <c r="F88" s="17"/>
      <c r="G88" s="18"/>
      <c r="H88" s="18"/>
      <c r="I88" s="19">
        <f>SUM(I89,I95,I101,I107,I113,I119,)</f>
        <v>401400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20">
        <v>45659.0</v>
      </c>
      <c r="C89" s="21" t="s">
        <v>52</v>
      </c>
      <c r="D89" s="21"/>
      <c r="E89" s="21"/>
      <c r="F89" s="21"/>
      <c r="G89" s="22"/>
      <c r="H89" s="23"/>
      <c r="I89" s="23">
        <f>SUM(I90:I94)</f>
        <v>82160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3"/>
      <c r="C90" s="13"/>
      <c r="D90" s="13" t="s">
        <v>15</v>
      </c>
      <c r="E90" s="24" t="str">
        <f>IFERROR(VLOOKUP(D90,Datos!$B$8:$E$15,2,),"")</f>
        <v>Labor (Personal)</v>
      </c>
      <c r="F90" s="24" t="str">
        <f>IFERROR(VLOOKUP(D90,Datos!$B$8:$E$15,3,),"")</f>
        <v>Horas / Jornadas</v>
      </c>
      <c r="G90" s="25">
        <v>3.0</v>
      </c>
      <c r="H90" s="26">
        <f t="array" ref="H90">XLOOKUP(D90,Datos!B:B,Datos!E:E,"Error",0)</f>
        <v>7630</v>
      </c>
      <c r="I90" s="26">
        <f t="shared" ref="I90:I94" si="14">G90*H90</f>
        <v>22890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3"/>
      <c r="C91" s="13"/>
      <c r="D91" s="13" t="s">
        <v>16</v>
      </c>
      <c r="E91" s="24" t="str">
        <f>IFERROR(VLOOKUP(D91,Datos!$B$8:$E$15,2,),"")</f>
        <v>Labor (Personal)</v>
      </c>
      <c r="F91" s="24" t="str">
        <f>IFERROR(VLOOKUP(D91,Datos!$B$8:$E$15,3,),"")</f>
        <v>Horas / Jornadas</v>
      </c>
      <c r="G91" s="25">
        <v>3.0</v>
      </c>
      <c r="H91" s="26">
        <f t="array" ref="H91">XLOOKUP(D91,Datos!B:B,Datos!E:E,"Error",0)</f>
        <v>7630</v>
      </c>
      <c r="I91" s="26">
        <f t="shared" si="14"/>
        <v>22890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3"/>
      <c r="C92" s="13"/>
      <c r="D92" s="13" t="s">
        <v>17</v>
      </c>
      <c r="E92" s="24" t="str">
        <f>IFERROR(VLOOKUP(D92,Datos!$B$8:$E$15,2,),"")</f>
        <v>Labor (Personal)</v>
      </c>
      <c r="F92" s="24" t="str">
        <f>IFERROR(VLOOKUP(D92,Datos!$B$8:$E$15,3,),"")</f>
        <v>Horas / Jornadas</v>
      </c>
      <c r="G92" s="25">
        <v>3.0</v>
      </c>
      <c r="H92" s="26">
        <f t="array" ref="H92">XLOOKUP(D92,Datos!B:B,Datos!E:E,"Error",0)</f>
        <v>7630</v>
      </c>
      <c r="I92" s="26">
        <f t="shared" si="14"/>
        <v>22890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3"/>
      <c r="C93" s="13"/>
      <c r="D93" s="13" t="s">
        <v>19</v>
      </c>
      <c r="E93" s="24" t="str">
        <f>IFERROR(VLOOKUP(D93,Datos!$B$8:$E$15,2,),"")</f>
        <v>Licencias</v>
      </c>
      <c r="F93" s="24" t="str">
        <f>IFERROR(VLOOKUP(D93,Datos!$B$8:$E$15,3,),"")</f>
        <v>Cantidad</v>
      </c>
      <c r="G93" s="25">
        <v>1.0</v>
      </c>
      <c r="H93" s="26">
        <f t="array" ref="H93">XLOOKUP(D93,Datos!B:B,Datos!E:E,"Error",0)</f>
        <v>8490</v>
      </c>
      <c r="I93" s="26">
        <f t="shared" si="14"/>
        <v>8490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3"/>
      <c r="C94" s="13"/>
      <c r="D94" s="13" t="s">
        <v>20</v>
      </c>
      <c r="E94" s="24" t="str">
        <f>IFERROR(VLOOKUP(D94,Datos!$B$8:$E$15,2,),"")</f>
        <v>Licencias</v>
      </c>
      <c r="F94" s="24" t="str">
        <f>IFERROR(VLOOKUP(D94,Datos!$B$8:$E$15,3,),"")</f>
        <v>Cantidad</v>
      </c>
      <c r="G94" s="25">
        <v>1.0</v>
      </c>
      <c r="H94" s="26">
        <f t="array" ref="H94">XLOOKUP(D94,Datos!B:B,Datos!E:E,"Error",0)</f>
        <v>5000</v>
      </c>
      <c r="I94" s="26">
        <f t="shared" si="14"/>
        <v>5000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27" t="s">
        <v>53</v>
      </c>
      <c r="C95" s="21" t="s">
        <v>0</v>
      </c>
      <c r="D95" s="21"/>
      <c r="E95" s="21"/>
      <c r="F95" s="21"/>
      <c r="G95" s="28"/>
      <c r="H95" s="23"/>
      <c r="I95" s="23">
        <f>SUM(I96:I100)</f>
        <v>59270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3"/>
      <c r="C96" s="13"/>
      <c r="D96" s="13" t="s">
        <v>15</v>
      </c>
      <c r="E96" s="24" t="str">
        <f>IFERROR(VLOOKUP(D96,Datos!$B$8:$E$15,2,),"")</f>
        <v>Labor (Personal)</v>
      </c>
      <c r="F96" s="24" t="str">
        <f>IFERROR(VLOOKUP(D96,Datos!$B$8:$E$15,3,),"")</f>
        <v>Horas / Jornadas</v>
      </c>
      <c r="G96" s="25">
        <v>2.0</v>
      </c>
      <c r="H96" s="26">
        <f t="array" ref="H96">XLOOKUP(D96,Datos!B:B,Datos!E:E,"Error",0)</f>
        <v>7630</v>
      </c>
      <c r="I96" s="26">
        <f t="shared" ref="I96:I100" si="15">G96*H96</f>
        <v>15260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3"/>
      <c r="C97" s="13"/>
      <c r="D97" s="13" t="s">
        <v>16</v>
      </c>
      <c r="E97" s="24" t="str">
        <f>IFERROR(VLOOKUP(D97,Datos!$B$8:$E$15,2,),"")</f>
        <v>Labor (Personal)</v>
      </c>
      <c r="F97" s="24" t="str">
        <f>IFERROR(VLOOKUP(D97,Datos!$B$8:$E$15,3,),"")</f>
        <v>Horas / Jornadas</v>
      </c>
      <c r="G97" s="25">
        <v>2.0</v>
      </c>
      <c r="H97" s="26">
        <f t="array" ref="H97">XLOOKUP(D97,Datos!B:B,Datos!E:E,"Error",0)</f>
        <v>7630</v>
      </c>
      <c r="I97" s="26">
        <f t="shared" si="15"/>
        <v>15260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3"/>
      <c r="C98" s="13"/>
      <c r="D98" s="13" t="s">
        <v>17</v>
      </c>
      <c r="E98" s="24" t="str">
        <f>IFERROR(VLOOKUP(D98,Datos!$B$8:$E$15,2,),"")</f>
        <v>Labor (Personal)</v>
      </c>
      <c r="F98" s="24" t="str">
        <f>IFERROR(VLOOKUP(D98,Datos!$B$8:$E$15,3,),"")</f>
        <v>Horas / Jornadas</v>
      </c>
      <c r="G98" s="25">
        <v>2.0</v>
      </c>
      <c r="H98" s="26">
        <f t="array" ref="H98">XLOOKUP(D98,Datos!B:B,Datos!E:E,"Error",0)</f>
        <v>7630</v>
      </c>
      <c r="I98" s="26">
        <f t="shared" si="15"/>
        <v>15260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3"/>
      <c r="C99" s="13"/>
      <c r="D99" s="13" t="s">
        <v>19</v>
      </c>
      <c r="E99" s="24" t="str">
        <f>IFERROR(VLOOKUP(D99,Datos!$B$8:$E$15,2,),"")</f>
        <v>Licencias</v>
      </c>
      <c r="F99" s="24" t="str">
        <f>IFERROR(VLOOKUP(D99,Datos!$B$8:$E$15,3,),"")</f>
        <v>Cantidad</v>
      </c>
      <c r="G99" s="25">
        <v>1.0</v>
      </c>
      <c r="H99" s="26">
        <f t="array" ref="H99">XLOOKUP(D99,Datos!B:B,Datos!E:E,"Error",0)</f>
        <v>8490</v>
      </c>
      <c r="I99" s="26">
        <f t="shared" si="15"/>
        <v>8490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3"/>
      <c r="C100" s="13"/>
      <c r="D100" s="13" t="s">
        <v>20</v>
      </c>
      <c r="E100" s="24" t="str">
        <f>IFERROR(VLOOKUP(D100,Datos!$B$8:$E$15,2,),"")</f>
        <v>Licencias</v>
      </c>
      <c r="F100" s="24" t="str">
        <f>IFERROR(VLOOKUP(D100,Datos!$B$8:$E$15,3,),"")</f>
        <v>Cantidad</v>
      </c>
      <c r="G100" s="25">
        <v>1.0</v>
      </c>
      <c r="H100" s="26">
        <f t="array" ref="H100">XLOOKUP(D100,Datos!B:B,Datos!E:E,"Error",0)</f>
        <v>5000</v>
      </c>
      <c r="I100" s="26">
        <f t="shared" si="15"/>
        <v>5000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27" t="s">
        <v>54</v>
      </c>
      <c r="C101" s="21" t="s">
        <v>55</v>
      </c>
      <c r="D101" s="21"/>
      <c r="E101" s="21"/>
      <c r="F101" s="21"/>
      <c r="G101" s="28"/>
      <c r="H101" s="23"/>
      <c r="I101" s="23">
        <f>SUM(I102:I106)</f>
        <v>59270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3"/>
      <c r="C102" s="13"/>
      <c r="D102" s="13" t="s">
        <v>15</v>
      </c>
      <c r="E102" s="24" t="str">
        <f>IFERROR(VLOOKUP(D102,Datos!$B$8:$E$15,2,),"")</f>
        <v>Labor (Personal)</v>
      </c>
      <c r="F102" s="24" t="str">
        <f>IFERROR(VLOOKUP(D102,Datos!$B$8:$E$15,3,),"")</f>
        <v>Horas / Jornadas</v>
      </c>
      <c r="G102" s="25">
        <v>2.0</v>
      </c>
      <c r="H102" s="26">
        <f t="array" ref="H102">XLOOKUP(D102,Datos!B:B,Datos!E:E,"Error",0)</f>
        <v>7630</v>
      </c>
      <c r="I102" s="26">
        <f t="shared" ref="I102:I106" si="16">G102*H102</f>
        <v>15260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3"/>
      <c r="C103" s="13"/>
      <c r="D103" s="13" t="s">
        <v>16</v>
      </c>
      <c r="E103" s="24" t="str">
        <f>IFERROR(VLOOKUP(D103,Datos!$B$8:$E$15,2,),"")</f>
        <v>Labor (Personal)</v>
      </c>
      <c r="F103" s="24" t="str">
        <f>IFERROR(VLOOKUP(D103,Datos!$B$8:$E$15,3,),"")</f>
        <v>Horas / Jornadas</v>
      </c>
      <c r="G103" s="25">
        <v>2.0</v>
      </c>
      <c r="H103" s="26">
        <f t="array" ref="H103">XLOOKUP(D103,Datos!B:B,Datos!E:E,"Error",0)</f>
        <v>7630</v>
      </c>
      <c r="I103" s="26">
        <f t="shared" si="16"/>
        <v>15260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3"/>
      <c r="C104" s="13"/>
      <c r="D104" s="13" t="s">
        <v>17</v>
      </c>
      <c r="E104" s="24" t="str">
        <f>IFERROR(VLOOKUP(D104,Datos!$B$8:$E$15,2,),"")</f>
        <v>Labor (Personal)</v>
      </c>
      <c r="F104" s="24" t="str">
        <f>IFERROR(VLOOKUP(D104,Datos!$B$8:$E$15,3,),"")</f>
        <v>Horas / Jornadas</v>
      </c>
      <c r="G104" s="25">
        <v>2.0</v>
      </c>
      <c r="H104" s="26">
        <f t="array" ref="H104">XLOOKUP(D104,Datos!B:B,Datos!E:E,"Error",0)</f>
        <v>7630</v>
      </c>
      <c r="I104" s="26">
        <f t="shared" si="16"/>
        <v>15260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3"/>
      <c r="C105" s="13"/>
      <c r="D105" s="13" t="s">
        <v>19</v>
      </c>
      <c r="E105" s="24" t="str">
        <f>IFERROR(VLOOKUP(D105,Datos!$B$8:$E$15,2,),"")</f>
        <v>Licencias</v>
      </c>
      <c r="F105" s="24" t="str">
        <f>IFERROR(VLOOKUP(D105,Datos!$B$8:$E$15,3,),"")</f>
        <v>Cantidad</v>
      </c>
      <c r="G105" s="25">
        <v>1.0</v>
      </c>
      <c r="H105" s="26">
        <f t="array" ref="H105">XLOOKUP(D105,Datos!B:B,Datos!E:E,"Error",0)</f>
        <v>8490</v>
      </c>
      <c r="I105" s="26">
        <f t="shared" si="16"/>
        <v>8490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3"/>
      <c r="C106" s="13"/>
      <c r="D106" s="13" t="s">
        <v>20</v>
      </c>
      <c r="E106" s="24" t="str">
        <f>IFERROR(VLOOKUP(D106,Datos!$B$8:$E$15,2,),"")</f>
        <v>Licencias</v>
      </c>
      <c r="F106" s="24" t="str">
        <f>IFERROR(VLOOKUP(D106,Datos!$B$8:$E$15,3,),"")</f>
        <v>Cantidad</v>
      </c>
      <c r="G106" s="25">
        <v>1.0</v>
      </c>
      <c r="H106" s="26">
        <f t="array" ref="H106">XLOOKUP(D106,Datos!B:B,Datos!E:E,"Error",0)</f>
        <v>5000</v>
      </c>
      <c r="I106" s="26">
        <f t="shared" si="16"/>
        <v>5000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27" t="s">
        <v>56</v>
      </c>
      <c r="C107" s="21" t="s">
        <v>57</v>
      </c>
      <c r="D107" s="21"/>
      <c r="E107" s="21"/>
      <c r="F107" s="21"/>
      <c r="G107" s="28"/>
      <c r="H107" s="23"/>
      <c r="I107" s="23">
        <f>SUM(I108:I112)</f>
        <v>59270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3"/>
      <c r="C108" s="13"/>
      <c r="D108" s="13" t="s">
        <v>15</v>
      </c>
      <c r="E108" s="24" t="str">
        <f>IFERROR(VLOOKUP(D108,Datos!$B$8:$E$15,2,),"")</f>
        <v>Labor (Personal)</v>
      </c>
      <c r="F108" s="24" t="str">
        <f>IFERROR(VLOOKUP(D108,Datos!$B$8:$E$15,3,),"")</f>
        <v>Horas / Jornadas</v>
      </c>
      <c r="G108" s="25">
        <v>2.0</v>
      </c>
      <c r="H108" s="26">
        <f t="array" ref="H108">XLOOKUP(D108,Datos!B:B,Datos!E:E,"Error",0)</f>
        <v>7630</v>
      </c>
      <c r="I108" s="26">
        <f t="shared" ref="I108:I112" si="17">G108*H108</f>
        <v>15260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3"/>
      <c r="C109" s="13"/>
      <c r="D109" s="13" t="s">
        <v>16</v>
      </c>
      <c r="E109" s="24" t="str">
        <f>IFERROR(VLOOKUP(D109,Datos!$B$8:$E$15,2,),"")</f>
        <v>Labor (Personal)</v>
      </c>
      <c r="F109" s="24" t="str">
        <f>IFERROR(VLOOKUP(D109,Datos!$B$8:$E$15,3,),"")</f>
        <v>Horas / Jornadas</v>
      </c>
      <c r="G109" s="25">
        <v>2.0</v>
      </c>
      <c r="H109" s="26">
        <f t="array" ref="H109">XLOOKUP(D109,Datos!B:B,Datos!E:E,"Error",0)</f>
        <v>7630</v>
      </c>
      <c r="I109" s="26">
        <f t="shared" si="17"/>
        <v>15260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3"/>
      <c r="C110" s="13"/>
      <c r="D110" s="13" t="s">
        <v>17</v>
      </c>
      <c r="E110" s="24" t="str">
        <f>IFERROR(VLOOKUP(D110,Datos!$B$8:$E$15,2,),"")</f>
        <v>Labor (Personal)</v>
      </c>
      <c r="F110" s="24" t="str">
        <f>IFERROR(VLOOKUP(D110,Datos!$B$8:$E$15,3,),"")</f>
        <v>Horas / Jornadas</v>
      </c>
      <c r="G110" s="25">
        <v>2.0</v>
      </c>
      <c r="H110" s="26">
        <f t="array" ref="H110">XLOOKUP(D110,Datos!B:B,Datos!E:E,"Error",0)</f>
        <v>7630</v>
      </c>
      <c r="I110" s="26">
        <f t="shared" si="17"/>
        <v>15260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3"/>
      <c r="C111" s="13"/>
      <c r="D111" s="13" t="s">
        <v>19</v>
      </c>
      <c r="E111" s="24" t="str">
        <f>IFERROR(VLOOKUP(D111,Datos!$B$8:$E$15,2,),"")</f>
        <v>Licencias</v>
      </c>
      <c r="F111" s="24" t="str">
        <f>IFERROR(VLOOKUP(D111,Datos!$B$8:$E$15,3,),"")</f>
        <v>Cantidad</v>
      </c>
      <c r="G111" s="25">
        <v>1.0</v>
      </c>
      <c r="H111" s="26">
        <f t="array" ref="H111">XLOOKUP(D111,Datos!B:B,Datos!E:E,"Error",0)</f>
        <v>8490</v>
      </c>
      <c r="I111" s="26">
        <f t="shared" si="17"/>
        <v>8490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3"/>
      <c r="C112" s="13"/>
      <c r="D112" s="13" t="s">
        <v>20</v>
      </c>
      <c r="E112" s="24" t="str">
        <f>IFERROR(VLOOKUP(D112,Datos!$B$8:$E$15,2,),"")</f>
        <v>Licencias</v>
      </c>
      <c r="F112" s="24" t="str">
        <f>IFERROR(VLOOKUP(D112,Datos!$B$8:$E$15,3,),"")</f>
        <v>Cantidad</v>
      </c>
      <c r="G112" s="25">
        <v>1.0</v>
      </c>
      <c r="H112" s="26">
        <f t="array" ref="H112">XLOOKUP(D112,Datos!B:B,Datos!E:E,"Error",0)</f>
        <v>5000</v>
      </c>
      <c r="I112" s="26">
        <f t="shared" si="17"/>
        <v>5000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27" t="s">
        <v>58</v>
      </c>
      <c r="C113" s="21" t="s">
        <v>59</v>
      </c>
      <c r="D113" s="21"/>
      <c r="E113" s="21"/>
      <c r="F113" s="21"/>
      <c r="G113" s="28"/>
      <c r="H113" s="23"/>
      <c r="I113" s="23">
        <f>SUM(I114:I118)</f>
        <v>59270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3"/>
      <c r="C114" s="13"/>
      <c r="D114" s="13" t="s">
        <v>15</v>
      </c>
      <c r="E114" s="24" t="str">
        <f>IFERROR(VLOOKUP(D114,Datos!$B$8:$E$15,2,),"")</f>
        <v>Labor (Personal)</v>
      </c>
      <c r="F114" s="24" t="str">
        <f>IFERROR(VLOOKUP(D114,Datos!$B$8:$E$15,3,),"")</f>
        <v>Horas / Jornadas</v>
      </c>
      <c r="G114" s="25">
        <v>2.0</v>
      </c>
      <c r="H114" s="26">
        <f t="array" ref="H114">XLOOKUP(D114,Datos!B:B,Datos!E:E,"Error",0)</f>
        <v>7630</v>
      </c>
      <c r="I114" s="26">
        <f t="shared" ref="I114:I118" si="18">G114*H114</f>
        <v>15260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3"/>
      <c r="C115" s="13"/>
      <c r="D115" s="13" t="s">
        <v>16</v>
      </c>
      <c r="E115" s="24" t="str">
        <f>IFERROR(VLOOKUP(D115,Datos!$B$8:$E$15,2,),"")</f>
        <v>Labor (Personal)</v>
      </c>
      <c r="F115" s="24" t="str">
        <f>IFERROR(VLOOKUP(D115,Datos!$B$8:$E$15,3,),"")</f>
        <v>Horas / Jornadas</v>
      </c>
      <c r="G115" s="25">
        <v>2.0</v>
      </c>
      <c r="H115" s="26">
        <f t="array" ref="H115">XLOOKUP(D115,Datos!B:B,Datos!E:E,"Error",0)</f>
        <v>7630</v>
      </c>
      <c r="I115" s="26">
        <f t="shared" si="18"/>
        <v>15260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3"/>
      <c r="C116" s="13"/>
      <c r="D116" s="13" t="s">
        <v>17</v>
      </c>
      <c r="E116" s="24" t="str">
        <f>IFERROR(VLOOKUP(D116,Datos!$B$8:$E$15,2,),"")</f>
        <v>Labor (Personal)</v>
      </c>
      <c r="F116" s="24" t="str">
        <f>IFERROR(VLOOKUP(D116,Datos!$B$8:$E$15,3,),"")</f>
        <v>Horas / Jornadas</v>
      </c>
      <c r="G116" s="25">
        <v>2.0</v>
      </c>
      <c r="H116" s="26">
        <f t="array" ref="H116">XLOOKUP(D116,Datos!B:B,Datos!E:E,"Error",0)</f>
        <v>7630</v>
      </c>
      <c r="I116" s="26">
        <f t="shared" si="18"/>
        <v>15260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3"/>
      <c r="C117" s="13"/>
      <c r="D117" s="13" t="s">
        <v>19</v>
      </c>
      <c r="E117" s="24" t="str">
        <f>IFERROR(VLOOKUP(D117,Datos!$B$8:$E$15,2,),"")</f>
        <v>Licencias</v>
      </c>
      <c r="F117" s="24" t="str">
        <f>IFERROR(VLOOKUP(D117,Datos!$B$8:$E$15,3,),"")</f>
        <v>Cantidad</v>
      </c>
      <c r="G117" s="25">
        <v>1.0</v>
      </c>
      <c r="H117" s="26">
        <f t="array" ref="H117">XLOOKUP(D117,Datos!B:B,Datos!E:E,"Error",0)</f>
        <v>8490</v>
      </c>
      <c r="I117" s="26">
        <f t="shared" si="18"/>
        <v>8490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3"/>
      <c r="C118" s="13"/>
      <c r="D118" s="13" t="s">
        <v>20</v>
      </c>
      <c r="E118" s="24" t="str">
        <f>IFERROR(VLOOKUP(D118,Datos!$B$8:$E$15,2,),"")</f>
        <v>Licencias</v>
      </c>
      <c r="F118" s="24" t="str">
        <f>IFERROR(VLOOKUP(D118,Datos!$B$8:$E$15,3,),"")</f>
        <v>Cantidad</v>
      </c>
      <c r="G118" s="25">
        <v>1.0</v>
      </c>
      <c r="H118" s="26">
        <f t="array" ref="H118">XLOOKUP(D118,Datos!B:B,Datos!E:E,"Error",0)</f>
        <v>5000</v>
      </c>
      <c r="I118" s="26">
        <f t="shared" si="18"/>
        <v>5000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27" t="s">
        <v>60</v>
      </c>
      <c r="C119" s="21" t="s">
        <v>61</v>
      </c>
      <c r="D119" s="21"/>
      <c r="E119" s="21"/>
      <c r="F119" s="21"/>
      <c r="G119" s="28"/>
      <c r="H119" s="23"/>
      <c r="I119" s="23">
        <f>SUM(I120:I124)</f>
        <v>82160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3"/>
      <c r="C120" s="13"/>
      <c r="D120" s="13" t="s">
        <v>15</v>
      </c>
      <c r="E120" s="24" t="str">
        <f>IFERROR(VLOOKUP(D120,Datos!$B$8:$E$15,2,),"")</f>
        <v>Labor (Personal)</v>
      </c>
      <c r="F120" s="24" t="str">
        <f>IFERROR(VLOOKUP(D120,Datos!$B$8:$E$15,3,),"")</f>
        <v>Horas / Jornadas</v>
      </c>
      <c r="G120" s="25">
        <v>3.0</v>
      </c>
      <c r="H120" s="26">
        <f t="array" ref="H120">XLOOKUP(D120,Datos!B:B,Datos!E:E,"Error",0)</f>
        <v>7630</v>
      </c>
      <c r="I120" s="26">
        <f t="shared" ref="I120:I124" si="19">G120*H120</f>
        <v>22890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3"/>
      <c r="C121" s="13"/>
      <c r="D121" s="13" t="s">
        <v>16</v>
      </c>
      <c r="E121" s="24" t="str">
        <f>IFERROR(VLOOKUP(D121,Datos!$B$8:$E$15,2,),"")</f>
        <v>Labor (Personal)</v>
      </c>
      <c r="F121" s="24" t="str">
        <f>IFERROR(VLOOKUP(D121,Datos!$B$8:$E$15,3,),"")</f>
        <v>Horas / Jornadas</v>
      </c>
      <c r="G121" s="25">
        <v>3.0</v>
      </c>
      <c r="H121" s="26">
        <f t="array" ref="H121">XLOOKUP(D121,Datos!B:B,Datos!E:E,"Error",0)</f>
        <v>7630</v>
      </c>
      <c r="I121" s="26">
        <f t="shared" si="19"/>
        <v>22890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3"/>
      <c r="C122" s="13"/>
      <c r="D122" s="13" t="s">
        <v>17</v>
      </c>
      <c r="E122" s="24" t="str">
        <f>IFERROR(VLOOKUP(D122,Datos!$B$8:$E$15,2,),"")</f>
        <v>Labor (Personal)</v>
      </c>
      <c r="F122" s="24" t="str">
        <f>IFERROR(VLOOKUP(D122,Datos!$B$8:$E$15,3,),"")</f>
        <v>Horas / Jornadas</v>
      </c>
      <c r="G122" s="25">
        <v>3.0</v>
      </c>
      <c r="H122" s="26">
        <f t="array" ref="H122">XLOOKUP(D122,Datos!B:B,Datos!E:E,"Error",0)</f>
        <v>7630</v>
      </c>
      <c r="I122" s="26">
        <f t="shared" si="19"/>
        <v>22890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3"/>
      <c r="C123" s="13"/>
      <c r="D123" s="13" t="s">
        <v>19</v>
      </c>
      <c r="E123" s="24" t="str">
        <f>IFERROR(VLOOKUP(D123,Datos!$B$8:$E$15,2,),"")</f>
        <v>Licencias</v>
      </c>
      <c r="F123" s="24" t="str">
        <f>IFERROR(VLOOKUP(D123,Datos!$B$8:$E$15,3,),"")</f>
        <v>Cantidad</v>
      </c>
      <c r="G123" s="25">
        <v>1.0</v>
      </c>
      <c r="H123" s="26">
        <f t="array" ref="H123">XLOOKUP(D123,Datos!B:B,Datos!E:E,"Error",0)</f>
        <v>8490</v>
      </c>
      <c r="I123" s="26">
        <f t="shared" si="19"/>
        <v>8490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3"/>
      <c r="C124" s="13"/>
      <c r="D124" s="13" t="s">
        <v>20</v>
      </c>
      <c r="E124" s="24" t="str">
        <f>IFERROR(VLOOKUP(D124,Datos!$B$8:$E$15,2,),"")</f>
        <v>Licencias</v>
      </c>
      <c r="F124" s="24" t="str">
        <f>IFERROR(VLOOKUP(D124,Datos!$B$8:$E$15,3,),"")</f>
        <v>Cantidad</v>
      </c>
      <c r="G124" s="25">
        <v>1.0</v>
      </c>
      <c r="H124" s="26">
        <f t="array" ref="H124">XLOOKUP(D124,Datos!B:B,Datos!E:E,"Error",0)</f>
        <v>5000</v>
      </c>
      <c r="I124" s="26">
        <f t="shared" si="19"/>
        <v>5000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</sheetData>
  <printOptions/>
  <pageMargins bottom="0.7480314960629921" footer="0.0" header="0.0" left="0.2362204724409449" right="0.2362204724409449" top="0.7480314960629921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27.14"/>
    <col customWidth="1" min="3" max="3" width="22.57"/>
    <col customWidth="1" min="4" max="4" width="25.14"/>
    <col customWidth="1" min="5" max="5" width="9.57"/>
    <col customWidth="1" min="6" max="25" width="11.43"/>
  </cols>
  <sheetData>
    <row r="1" ht="27.0" customHeight="1">
      <c r="A1" s="1"/>
      <c r="B1" s="2" t="s">
        <v>0</v>
      </c>
      <c r="C1" s="1"/>
      <c r="D1" s="3" t="s">
        <v>62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4.25" customHeight="1">
      <c r="A2" s="1"/>
      <c r="B2" s="4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4.25" customHeight="1">
      <c r="A3" s="1"/>
      <c r="B3" s="6" t="s">
        <v>4</v>
      </c>
      <c r="C3" s="1"/>
      <c r="D3" s="1"/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4.25" customHeight="1">
      <c r="A4" s="1"/>
      <c r="B4" s="6" t="s">
        <v>8</v>
      </c>
      <c r="C4" s="1"/>
      <c r="D4" s="1"/>
      <c r="E4" s="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4.25" customHeight="1">
      <c r="A6" s="1"/>
      <c r="B6" s="8" t="s">
        <v>26</v>
      </c>
      <c r="C6" s="8" t="s">
        <v>27</v>
      </c>
      <c r="D6" s="8" t="s">
        <v>11</v>
      </c>
      <c r="E6" s="8" t="s">
        <v>12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4.25" customHeight="1">
      <c r="A7" s="1"/>
      <c r="B7" s="17"/>
      <c r="C7" s="17"/>
      <c r="D7" s="17"/>
      <c r="E7" s="1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4.25" customHeight="1">
      <c r="A8" s="1"/>
      <c r="B8" s="13" t="s">
        <v>17</v>
      </c>
      <c r="C8" s="13" t="s">
        <v>14</v>
      </c>
      <c r="D8" s="13" t="s">
        <v>63</v>
      </c>
      <c r="E8" s="26">
        <v>7630.0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4.25" customHeight="1">
      <c r="A9" s="1"/>
      <c r="B9" s="13" t="s">
        <v>15</v>
      </c>
      <c r="C9" s="13" t="s">
        <v>14</v>
      </c>
      <c r="D9" s="13" t="s">
        <v>63</v>
      </c>
      <c r="E9" s="26">
        <v>7630.0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4.25" customHeight="1">
      <c r="A10" s="1"/>
      <c r="B10" s="13" t="s">
        <v>16</v>
      </c>
      <c r="C10" s="13" t="s">
        <v>14</v>
      </c>
      <c r="D10" s="13" t="s">
        <v>63</v>
      </c>
      <c r="E10" s="26">
        <v>7630.0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4.25" customHeight="1">
      <c r="A11" s="1"/>
      <c r="B11" s="13" t="s">
        <v>21</v>
      </c>
      <c r="C11" s="13" t="s">
        <v>18</v>
      </c>
      <c r="D11" s="13" t="s">
        <v>64</v>
      </c>
      <c r="E11" s="26">
        <v>15000.0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4.25" customHeight="1">
      <c r="A12" s="1"/>
      <c r="B12" s="13" t="s">
        <v>23</v>
      </c>
      <c r="C12" s="13" t="s">
        <v>18</v>
      </c>
      <c r="D12" s="13" t="s">
        <v>64</v>
      </c>
      <c r="E12" s="26">
        <v>30000.0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4.25" customHeight="1">
      <c r="A13" s="1"/>
      <c r="B13" s="13" t="s">
        <v>22</v>
      </c>
      <c r="C13" s="13" t="s">
        <v>18</v>
      </c>
      <c r="D13" s="13" t="s">
        <v>64</v>
      </c>
      <c r="E13" s="26">
        <v>10000.0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4.25" customHeight="1">
      <c r="A14" s="1"/>
      <c r="B14" s="1" t="s">
        <v>19</v>
      </c>
      <c r="C14" s="1" t="s">
        <v>18</v>
      </c>
      <c r="D14" s="1" t="s">
        <v>64</v>
      </c>
      <c r="E14" s="26">
        <v>8490.0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4.25" customHeight="1">
      <c r="A15" s="1"/>
      <c r="B15" s="1" t="s">
        <v>20</v>
      </c>
      <c r="C15" s="1" t="s">
        <v>18</v>
      </c>
      <c r="D15" s="1" t="s">
        <v>64</v>
      </c>
      <c r="E15" s="26">
        <v>5000.0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0x0101000DE189D277BD07488664EE36F8B6CA3B</vt:lpwstr>
  </property>
</Properties>
</file>